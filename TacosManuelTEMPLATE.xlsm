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C:\Users\candilletho\Desktop\TACOS_ptetrecasseonsaitpas\"/>
    </mc:Choice>
  </mc:AlternateContent>
  <xr:revisionPtr revIDLastSave="0" documentId="13_ncr:1_{D844B54E-2652-4582-98D6-9C1F9F1900B7}" xr6:coauthVersionLast="47" xr6:coauthVersionMax="47" xr10:uidLastSave="{00000000-0000-0000-0000-000000000000}"/>
  <bookViews>
    <workbookView xWindow="-120" yWindow="-120" windowWidth="29040" windowHeight="15240" xr2:uid="{00000000-000D-0000-FFFF-FFFF00000000}"/>
  </bookViews>
  <sheets>
    <sheet name="FicheDeCoordination" sheetId="1" r:id="rId1"/>
    <sheet name="Parametres" sheetId="2" r:id="rId2"/>
  </sheets>
  <definedNames>
    <definedName name="_xlnm._FilterDatabase" localSheetId="0" hidden="1">FicheDeCoordination!$A$7:$AP$57</definedName>
    <definedName name="_xlnm.Print_Area" localSheetId="0">FicheDeCoordination!$A$1:$AP$57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L18" i="1" l="1"/>
  <c r="AK18" i="1"/>
  <c r="AJ18" i="1"/>
  <c r="AI18" i="1"/>
  <c r="AH18" i="1"/>
  <c r="AG18" i="1"/>
  <c r="AF18" i="1"/>
  <c r="AE18" i="1"/>
  <c r="AD18" i="1"/>
  <c r="AC18" i="1"/>
  <c r="AB18" i="1"/>
  <c r="AA18" i="1"/>
  <c r="Z18" i="1"/>
  <c r="Y18" i="1"/>
  <c r="X18" i="1"/>
  <c r="W18" i="1"/>
  <c r="V18" i="1"/>
  <c r="U18" i="1"/>
  <c r="T18" i="1"/>
  <c r="S18" i="1"/>
  <c r="R18" i="1"/>
  <c r="Q18" i="1"/>
  <c r="P18" i="1"/>
  <c r="O18" i="1"/>
  <c r="N18" i="1"/>
  <c r="M18" i="1"/>
  <c r="L18" i="1"/>
  <c r="K18" i="1"/>
  <c r="I18" i="1"/>
  <c r="J18" i="1"/>
  <c r="H18" i="1"/>
  <c r="AL17" i="1"/>
  <c r="AK17" i="1"/>
  <c r="AJ17" i="1"/>
  <c r="AI17" i="1"/>
  <c r="AH17" i="1"/>
  <c r="AG17" i="1"/>
  <c r="AF17" i="1"/>
  <c r="AE17" i="1"/>
  <c r="AD17" i="1"/>
  <c r="AC17" i="1"/>
  <c r="AB17" i="1"/>
  <c r="AA17" i="1"/>
  <c r="Z17" i="1"/>
  <c r="Y17" i="1"/>
  <c r="X17" i="1"/>
  <c r="W17" i="1"/>
  <c r="V17" i="1"/>
  <c r="U17" i="1"/>
  <c r="T17" i="1"/>
  <c r="S17" i="1"/>
  <c r="R17" i="1"/>
  <c r="Q17" i="1"/>
  <c r="P17" i="1"/>
  <c r="O17" i="1"/>
  <c r="N17" i="1"/>
  <c r="M17" i="1"/>
  <c r="L17" i="1"/>
  <c r="K17" i="1"/>
  <c r="J17" i="1"/>
  <c r="I17" i="1"/>
  <c r="H17" i="1"/>
  <c r="F47" i="1"/>
  <c r="AN46" i="1"/>
  <c r="O46" i="1"/>
  <c r="F46" i="1"/>
  <c r="O47" i="1"/>
  <c r="AN47" i="1"/>
  <c r="AN48" i="1"/>
  <c r="O48" i="1"/>
  <c r="F48" i="1"/>
  <c r="F49" i="1"/>
  <c r="O49" i="1"/>
  <c r="AN49" i="1"/>
  <c r="AN50" i="1"/>
  <c r="O50" i="1"/>
  <c r="F50" i="1"/>
</calcChain>
</file>

<file path=xl/sharedStrings.xml><?xml version="1.0" encoding="utf-8"?>
<sst xmlns="http://schemas.openxmlformats.org/spreadsheetml/2006/main" count="165" uniqueCount="114">
  <si>
    <t>TITRE DE LA FICHE DE COORDINATION</t>
  </si>
  <si>
    <t>NUMERO NIP</t>
  </si>
  <si>
    <t>NUMERO OG</t>
  </si>
  <si>
    <t>OUVRAGES</t>
  </si>
  <si>
    <t>Date de début</t>
  </si>
  <si>
    <t>Date de fin</t>
  </si>
  <si>
    <t>Equipes concernées :</t>
  </si>
  <si>
    <t>xxSTAIA</t>
  </si>
  <si>
    <t>xxSTGPx</t>
  </si>
  <si>
    <t>PxSTECx</t>
  </si>
  <si>
    <t>Semaine Numéro :</t>
  </si>
  <si>
    <t>Equipe pilote :</t>
  </si>
  <si>
    <t>xxSTEPP</t>
  </si>
  <si>
    <t>Tableau des opérations</t>
  </si>
  <si>
    <t>Equipe 1</t>
  </si>
  <si>
    <t>Localisation</t>
  </si>
  <si>
    <t>Equipe</t>
  </si>
  <si>
    <t>Nature des travaux</t>
  </si>
  <si>
    <t>Opérations</t>
  </si>
  <si>
    <t>Mesures préventives</t>
  </si>
  <si>
    <t>Mis en oeuvre par</t>
  </si>
  <si>
    <t>Charge filerie - essai d'isolement masse cuve transformateur</t>
  </si>
  <si>
    <t>Vérification CPEC</t>
  </si>
  <si>
    <t>Signature du RMR Opération</t>
  </si>
  <si>
    <t>Signature :</t>
  </si>
  <si>
    <t>Risques identifiés et problèmes générés</t>
  </si>
  <si>
    <t>Mesures préventives / Remarques</t>
  </si>
  <si>
    <t>Mise en œuvre par</t>
  </si>
  <si>
    <t>Zones différenciables ou limites communes : présence d'un point ou organe de séparation en BT / Consignation pour son propre compte</t>
  </si>
  <si>
    <t>Electrique</t>
  </si>
  <si>
    <t>- Chaque CDE assurera la cons BT des polarités pour son propre compte : ouverture d'organes de séparation ou déconnection sous tension avec habilitation BR
- Traçabilité des Opérations de cons/décons sur la prépa de travail.
- Chaque CDE trouvera un point de séparation ou organe pour consigner la ou les polarités tout en s'assurant qu'un autre CDE aura cette même polarité disponible si besoin</t>
  </si>
  <si>
    <t>TOUS</t>
  </si>
  <si>
    <t>Zones non différenciables : sans présence d'un point de séparation BT entre les chantiers / Consignation par CDC</t>
  </si>
  <si>
    <t xml:space="preserve">
- Phase de travaux Hors Tension consignation par CDC
- Phase d'essai : En présence de Tension après évolution d'état de la consignation chaque CDE consigne la BT pour son propre compte sous réserve que les polarités ne mettent pas en cause une A1EC BT en cours.</t>
  </si>
  <si>
    <t>Maintenance BT, Correctif BT, Modification de réglage automate ou protection</t>
  </si>
  <si>
    <t>Mécanique: Ordres de manœuvres émanants de la tranche vers les appareils HT (peut également provoquer le démarrage des aéros)</t>
  </si>
  <si>
    <t>- Le CDE EMASI déconnecte les ordres de manœuvres des appareils HT issus de la tranche ou de l'équipement.
- Installation d'un DJ fictif au besoin.</t>
  </si>
  <si>
    <t>EMASI</t>
  </si>
  <si>
    <t>Travaux dans tranche BT par EMASI avec ouverture ICT</t>
  </si>
  <si>
    <t>Electrique: Polarités indisponibles dans le tranche et les appareils HT</t>
  </si>
  <si>
    <t>- Polarités indisponibles pour les autres équipes présentes.
- Si présence d'autres équipes au même moment sur l'ouvrage, veuillez vous référez à la gestion des polarités en ajoutant un des cas zones différenciables repère 1 ou zones non différenciables repère 2 sur cette fiche de coordination.</t>
  </si>
  <si>
    <t>Travaux sur appareils HT (sauf transformateur) par EMSP ou Grpt avec ouverture ICT</t>
  </si>
  <si>
    <t>- Polarités indisponibles pour les autres équipes présentes.
- Si présence d'autres équipes au même moment sur l'ouvrage, veuillez vous référez à la gestion des polarités en ajoutant un des cas zones différenciables repère 1 ou zones non différenciables repère 2 sur cette fiche de coordination.
- Déconnexion des polarités sur les borniers HTDJ, HTSA ou autre dans la tranche, si besoin et si possible.</t>
  </si>
  <si>
    <t>Maintenance HT par GDP</t>
  </si>
  <si>
    <t>Chute de hauteur: Manœuvres des appareils HT</t>
  </si>
  <si>
    <t>- Information sur site aux autres CDT au moment des manœuvres, afin d'éviter les risques de chute de hauteur.</t>
  </si>
  <si>
    <t>GDP</t>
  </si>
  <si>
    <t>Contrôle CC</t>
  </si>
  <si>
    <t>- Pas de travaux simultané sur le disjoncteur ou sur les aéro ou dans la tranche pendant les EFS.
- Gestion temporelle de la coactivité.</t>
  </si>
  <si>
    <t>Maintenance HT par EMSP</t>
  </si>
  <si>
    <t>EMSP</t>
  </si>
  <si>
    <t>Electrique: Besoin de polarité pour les manœuvres du régleur</t>
  </si>
  <si>
    <t>- Si les polarités sont consignées, veuillez contacter le CDC (gestion polarités repère 2), CDT ou CDE (gestion polarités repère 1) avant d'actionner l'ICT ou des disjoncteurs BT.</t>
  </si>
  <si>
    <t>EMSP
ou
GDP</t>
  </si>
  <si>
    <t>Révision corps insérable CPEC</t>
  </si>
  <si>
    <t>Electrique: Besoin de polarité pour les manœuvres du régleur
Mécanique: Manoeuvre inopportune
Ecrasement: Manutention de charge
Circulation: Engins encombrements</t>
  </si>
  <si>
    <t>- Si les polarités sont consignées, veuillez contacter le CDC (gestion polarités repère 2), CDT ou CDE (gestion polarités repère 1) avant d'actionner l'ICT ou des disjoncteurs BT.
- Condamnation mécanique de l'armoire, ouverture compact force motrice ou "manivelle".
- Pas de travaux d'autres équipes dans la zone de travail sans accord préalable de l'EMSP.
- Définir un plan de circulation sur les pistes du poste.</t>
  </si>
  <si>
    <t>Vérification/Révision transformateur ou autotransformateur</t>
  </si>
  <si>
    <t>Electrique: Besoin de polarité pour les manœuvres du régleur et essai aéro
Mécanique: Manoeuvre inopportune, fonctionnement aéro
Ecrasement: Manutention de charge
Circulation: Engins encombrements</t>
  </si>
  <si>
    <t>- Si les polarités sont consignées, veuillez contacter le CDC (gestion polarités repère 2), CDT ou CDE (gestion polarités repère 1) avant d'actionner l'ICT ou des disjoncteurs BT.
- Condamnation mécanique de l'armoire, ouverture compact force motrice ou "manivelle".
- Pas de travaux d'autres équipes dans la zone de travail sans accord préalable de l'EMSP et GDP.
- Définir un plan de circulation sur les pistes du poste.</t>
  </si>
  <si>
    <t>Pont DOBBLE</t>
  </si>
  <si>
    <t>Electrique: Injection courant sur Disjoncteur ou TCT
Mécanique: Le disjoncteur ne doit pas manœuvrer.</t>
  </si>
  <si>
    <t>- Déconnexion de l'appareil en HT et régime d'essais.
- Polarités indisponibles pour les autres équipes présentes.
- Si présence d'autres équipes au même moment sur l'ouvrage, veuillez vous référez à la gestion des polarités en repère n°1 ou 2.
- Déconnexion des polarités sur les borniers HTDJ, HTSA ou autre dans la tranche et UA, si besoin et si possible.</t>
  </si>
  <si>
    <t>Nettoyage au Kärcher des aéros</t>
  </si>
  <si>
    <t>Mécanique: Ordres de manœuvres émanants de la tranche vers les appareils HT (peut également provoquer le démarrage des aéros)
Pression: Projection eau sous pression
Circulation: Encombrement ( tuyaux, matériel divers... )</t>
  </si>
  <si>
    <t>- Polarités indisponibles pour les autres équipes présentes.
- Si présence d'autres équipes au même moment sur l'ouvrage, veuillez vous référez à la gestion des polarités en repère 1 ou 2.
- Déconnexion des polarités sur les borniers HTDJ, HTSA ou autre dans la tranche et UA, si besoin et si possible.
- Pas de travaux d'autres équipes dans la zone de travail sans accord préalable du GDP.
- Définir un plan de circulation sur les pistes du poste.</t>
  </si>
  <si>
    <t>Remplacement appareillage HT ou pôle de disjoncteur</t>
  </si>
  <si>
    <t>Mécanique: Ordres de manœuvres émanants de la tranche vers les appareils HT
Ecrasement: Manutention de charge
Circulation: Engins encombrements</t>
  </si>
  <si>
    <t>- Déconnexion des polarités sur les borniers HTDJ ou autre dans la tranche et UA.
- Pas de travaux d'autres équipes dans la zone de travail sans accord préalable de l'EMSP.
- Définir un plan de circulation sur les pistes du poste.</t>
  </si>
  <si>
    <t>Travaux tiers</t>
  </si>
  <si>
    <t>Electrique: Tension induite supérieure à 50V, malgré la mise en œuvre de SFPT</t>
  </si>
  <si>
    <t>- Pose de terre au droit du chantier uniquement.
- Interdire la pose de terre en poste coté ligne.
- Si contrainte particulière demander une étude de PEASI.</t>
  </si>
  <si>
    <t>EMSP, EMLA, GDP, EMASI</t>
  </si>
  <si>
    <t>Visite montée - Correctif - Travaux ligne - Peinture</t>
  </si>
  <si>
    <t>- Le CDT EMLA prendra connaissance de la valeur de tension induite sur l'ouvrage indiquée sur la NIP après la mise en œuvre des SFPT.
- Lors de la pose de MALT/CC pour encadrer son chantier, le CDT sera vigilant au phénomène d'arc électrique lié à la tension induite, malgré l'absence de tension contrôlée à la VATn.</t>
  </si>
  <si>
    <t>EMLA</t>
  </si>
  <si>
    <t>Electrique: injection supérieure à 50V</t>
  </si>
  <si>
    <t>- Régime de Réquisition, l'EMASI sera la seule à travailler sur l'ouvrage lors de l'injection.
- Gestion temporelle de la coactivité.</t>
  </si>
  <si>
    <t>Maintenance CC</t>
  </si>
  <si>
    <t>Electrique: Besoin des polarités pour l'essai des automates et protections
Mécanique: Ordres de manœuvres émanants de la tranche vers les appareils HT (peut également provoquer le démarrage des aéros)</t>
  </si>
  <si>
    <t>- Isoler les polarités et les ordres au bornier HTDJ + mise en place d'un DJ fictif.
- A la fin de la maintenance, un essai de manœuvre en réel sera réalisé en coordination avec les CDT présents sur site.</t>
  </si>
  <si>
    <t>Révision CC ou Réhabilitation</t>
  </si>
  <si>
    <t>Date d'opération :</t>
  </si>
  <si>
    <t>Version</t>
  </si>
  <si>
    <t>xxSTELx</t>
  </si>
  <si>
    <t>Periode de l'opération (1/2 journées)</t>
  </si>
  <si>
    <t>M</t>
  </si>
  <si>
    <t>AM</t>
  </si>
  <si>
    <t>J</t>
  </si>
  <si>
    <t>OPTIONS DE SAUVEGARDE</t>
  </si>
  <si>
    <t>Version +1</t>
  </si>
  <si>
    <t>Version +0.1</t>
  </si>
  <si>
    <t>INDICE</t>
  </si>
  <si>
    <t>Prévention du risque</t>
  </si>
  <si>
    <t>Risques et Problèmes</t>
  </si>
  <si>
    <t>Travaux sous ist emsp</t>
  </si>
  <si>
    <t xml:space="preserve">Electrique: l'ist au vue des proximités des départs adjacents </t>
  </si>
  <si>
    <t>Traçage au sol et pre job briefing</t>
  </si>
  <si>
    <t>Travaux en hauteur Emsp</t>
  </si>
  <si>
    <t>Chute de hauteur</t>
  </si>
  <si>
    <t>Respect des abaques engins et opérations spécifique de prise</t>
  </si>
  <si>
    <t>Travaux en hauteur avec PEMP</t>
  </si>
  <si>
    <t>Risque de blocage de la PEMP</t>
  </si>
  <si>
    <t>PEMP avec chauffeur + location</t>
  </si>
  <si>
    <t>EMSC</t>
  </si>
  <si>
    <t xml:space="preserve">Travaux en hauteur </t>
  </si>
  <si>
    <t>Risque de chute de personnes</t>
  </si>
  <si>
    <t>Port du harnais des opérateurs dans la nacelle</t>
  </si>
  <si>
    <t>EMSC / EMSP / GDP</t>
  </si>
  <si>
    <t>Montée de Version Système</t>
  </si>
  <si>
    <t>Manœuvre: Besoin de reboot d'équipements (Fond de poste Electre).</t>
  </si>
  <si>
    <t>Prise du site en local</t>
  </si>
  <si>
    <t>DATE DEBUT :</t>
  </si>
  <si>
    <t>00/00/0000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</si>
</sst>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d"/>
    <numFmt numFmtId="166" formatCode="mm"/>
  </numFmts>
  <fonts count="25" x14ac:knownFonts="1">
    <font>
      <sz val="11"/>
      <color theme="1"/>
      <name val="Calibri"/>
      <family val="2"/>
      <scheme val="minor"/>
    </font>
    <font>
      <sz val="24"/>
      <color rgb="FF000000"/>
      <name val="Ubuntu"/>
      <family val="2"/>
    </font>
    <font>
      <sz val="10"/>
      <color rgb="FF000000"/>
      <name val="Ubuntu"/>
      <family val="2"/>
    </font>
    <font>
      <sz val="11"/>
      <color rgb="FF000000"/>
      <name val="Ubuntu"/>
      <family val="2"/>
    </font>
    <font>
      <b/>
      <sz val="16"/>
      <color rgb="FF000000"/>
      <name val="Ubuntu"/>
      <family val="2"/>
    </font>
    <font>
      <b/>
      <sz val="13.5"/>
      <color rgb="FF000000"/>
      <name val="Arial"/>
      <family val="2"/>
    </font>
    <font>
      <sz val="12"/>
      <color rgb="FF000000"/>
      <name val="Arial"/>
      <family val="2"/>
    </font>
    <font>
      <sz val="13.5"/>
      <color rgb="FF000000"/>
      <name val="Arial"/>
      <family val="2"/>
    </font>
    <font>
      <sz val="10"/>
      <color rgb="FF000000"/>
      <name val="Arial"/>
      <family val="2"/>
    </font>
    <font>
      <b/>
      <sz val="10"/>
      <color rgb="FF000000"/>
      <name val="Ubuntu"/>
      <family val="2"/>
    </font>
    <font>
      <sz val="6"/>
      <color rgb="FF000000"/>
      <name val="Ubuntu"/>
      <family val="2"/>
    </font>
    <font>
      <sz val="6"/>
      <color theme="1"/>
      <name val="Calibri"/>
      <family val="2"/>
      <scheme val="minor"/>
    </font>
    <font>
      <b/>
      <sz val="12"/>
      <color rgb="FF000000"/>
      <name val="Calibri"/>
      <family val="2"/>
    </font>
    <font>
      <b/>
      <sz val="14"/>
      <color rgb="FF000000"/>
      <name val="Ubuntu"/>
      <family val="2"/>
    </font>
    <font>
      <sz val="11"/>
      <color theme="0"/>
      <name val="Calibri"/>
      <family val="2"/>
      <scheme val="minor"/>
    </font>
    <font>
      <sz val="7"/>
      <color rgb="FF000000"/>
      <name val="Ubuntu"/>
      <family val="2"/>
    </font>
    <font>
      <sz val="6"/>
      <color theme="0"/>
      <name val="Calibri"/>
      <family val="2"/>
      <scheme val="minor"/>
    </font>
    <font>
      <b/>
      <sz val="11"/>
      <color theme="1"/>
      <name val="Calibri"/>
      <family val="2"/>
      <scheme val="minor"/>
    </font>
    <font>
      <b/>
      <sz val="16"/>
      <color theme="1"/>
      <name val="Calibri"/>
      <family val="2"/>
      <scheme val="minor"/>
    </font>
    <font>
      <b/>
      <sz val="10"/>
      <color theme="0" tint="-4.9989318521683403E-2"/>
      <name val="Ubuntu"/>
      <family val="2"/>
    </font>
    <font>
      <b/>
      <sz val="11"/>
      <color theme="0"/>
      <name val="Calibri"/>
      <family val="2"/>
      <scheme val="minor"/>
    </font>
    <font>
      <b/>
      <sz val="10"/>
      <color theme="0"/>
      <name val="Ubuntu"/>
      <family val="2"/>
    </font>
    <font>
      <sz val="11"/>
      <color rgb="FF000000"/>
      <name val="Aptos Narrow"/>
      <family val="2"/>
    </font>
    <font>
      <sz val="11"/>
      <color rgb="FF000000"/>
      <name val="Arial"/>
      <family val="2"/>
    </font>
    <font>
      <sz val="11"/>
      <name val="Calibri"/>
      <family val="2"/>
      <scheme val="minor"/>
    </font>
  </fonts>
  <fills count="23">
    <fill>
      <patternFill patternType="none"/>
    </fill>
    <fill>
      <patternFill patternType="gray125"/>
    </fill>
    <fill>
      <patternFill patternType="solid">
        <fgColor rgb="FF8BD3E6"/>
        <bgColor rgb="FFD0BDF0"/>
      </patternFill>
    </fill>
    <fill>
      <patternFill patternType="solid">
        <fgColor rgb="FFFF6D6A"/>
        <bgColor rgb="FFFF6600"/>
      </patternFill>
    </fill>
    <fill>
      <patternFill patternType="solid">
        <fgColor rgb="FFDADADA"/>
        <bgColor rgb="FFF2F2F2"/>
      </patternFill>
    </fill>
    <fill>
      <patternFill patternType="solid">
        <fgColor rgb="FFD0BDF0"/>
        <bgColor rgb="FFDADADA"/>
      </patternFill>
    </fill>
    <fill>
      <patternFill patternType="solid">
        <fgColor rgb="FFF2F2F2"/>
        <bgColor rgb="FFFFFFFF"/>
      </patternFill>
    </fill>
    <fill>
      <patternFill patternType="solid">
        <fgColor rgb="FFFFFFFF"/>
        <bgColor rgb="FFF2F2F2"/>
      </patternFill>
    </fill>
    <fill>
      <patternFill patternType="solid">
        <fgColor rgb="FFB89FD3"/>
        <bgColor indexed="64"/>
      </patternFill>
    </fill>
    <fill>
      <patternFill patternType="solid">
        <fgColor theme="2"/>
        <bgColor indexed="64"/>
      </patternFill>
    </fill>
    <fill>
      <patternFill patternType="solid">
        <fgColor theme="0"/>
        <bgColor rgb="FFFFFFFF"/>
      </patternFill>
    </fill>
    <fill>
      <patternFill patternType="solid">
        <fgColor theme="0"/>
        <bgColor indexed="64"/>
      </patternFill>
    </fill>
    <fill>
      <patternFill patternType="solid">
        <fgColor theme="0" tint="-0.14999847407452621"/>
        <bgColor indexed="64"/>
      </patternFill>
    </fill>
    <fill>
      <patternFill patternType="solid">
        <fgColor rgb="FF0B8A4D"/>
        <bgColor indexed="64"/>
      </patternFill>
    </fill>
    <fill>
      <patternFill patternType="solid">
        <fgColor theme="2" tint="-9.9978637043366805E-2"/>
        <bgColor rgb="FFFFFFFF"/>
      </patternFill>
    </fill>
    <fill>
      <patternFill patternType="solid">
        <fgColor rgb="FF3D70AD"/>
        <bgColor indexed="64"/>
      </patternFill>
    </fill>
    <fill>
      <patternFill patternType="solid">
        <fgColor rgb="FFF97385"/>
        <bgColor indexed="64"/>
      </patternFill>
    </fill>
    <fill>
      <patternFill patternType="solid">
        <fgColor rgb="FF6F767B"/>
        <bgColor indexed="64"/>
      </patternFill>
    </fill>
    <fill>
      <patternFill patternType="solid">
        <fgColor rgb="FFDDDFE0"/>
        <bgColor indexed="64"/>
      </patternFill>
    </fill>
    <fill>
      <patternFill patternType="solid">
        <fgColor rgb="FF12D577"/>
        <bgColor indexed="64"/>
      </patternFill>
    </fill>
    <fill>
      <patternFill patternType="solid">
        <fgColor rgb="FFFFFFFF"/>
        <bgColor indexed="64"/>
      </patternFill>
    </fill>
    <fill>
      <patternFill patternType="solid">
        <fgColor rgb="FFFFFFFF"/>
        <bgColor rgb="FFDDDFE0"/>
      </patternFill>
    </fill>
    <fill>
      <patternFill patternType="solid">
        <fgColor rgb="FFFFFFFF"/>
        <bgColor rgb="FFFFFFFF"/>
      </patternFill>
    </fill>
  </fills>
  <borders count="102">
    <border>
      <left/>
      <right/>
      <top/>
      <bottom/>
      <diagonal/>
    </border>
    <border>
      <left style="medium">
        <color auto="1"/>
      </left>
      <right style="medium">
        <color auto="1"/>
      </right>
      <top style="medium">
        <color auto="1"/>
      </top>
      <bottom/>
      <diagonal/>
    </border>
    <border>
      <left/>
      <right/>
      <top style="medium">
        <color auto="1"/>
      </top>
      <bottom/>
      <diagonal/>
    </border>
    <border>
      <left style="medium">
        <color auto="1"/>
      </left>
      <right style="medium">
        <color auto="1"/>
      </right>
      <top style="medium">
        <color auto="1"/>
      </top>
      <bottom style="medium">
        <color auto="1"/>
      </bottom>
      <diagonal/>
    </border>
    <border>
      <left style="medium">
        <color auto="1"/>
      </left>
      <right/>
      <top style="medium">
        <color auto="1"/>
      </top>
      <bottom/>
      <diagonal/>
    </border>
    <border>
      <left/>
      <right style="hair">
        <color auto="1"/>
      </right>
      <top style="hair">
        <color auto="1"/>
      </top>
      <bottom/>
      <diagonal/>
    </border>
    <border>
      <left style="hair">
        <color auto="1"/>
      </left>
      <right style="hair">
        <color auto="1"/>
      </right>
      <top style="hair">
        <color auto="1"/>
      </top>
      <bottom/>
      <diagonal/>
    </border>
    <border>
      <left/>
      <right/>
      <top style="hair">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hair">
        <color auto="1"/>
      </left>
      <right style="hair">
        <color auto="1"/>
      </right>
      <top/>
      <bottom style="hair">
        <color auto="1"/>
      </bottom>
      <diagonal/>
    </border>
    <border>
      <left style="thin">
        <color auto="1"/>
      </left>
      <right style="thin">
        <color auto="1"/>
      </right>
      <top style="thin">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right style="thin">
        <color indexed="64"/>
      </right>
      <top/>
      <bottom style="thin">
        <color auto="1"/>
      </bottom>
      <diagonal/>
    </border>
    <border>
      <left/>
      <right style="medium">
        <color indexed="64"/>
      </right>
      <top style="medium">
        <color indexed="64"/>
      </top>
      <bottom/>
      <diagonal/>
    </border>
    <border>
      <left style="thin">
        <color auto="1"/>
      </left>
      <right style="thin">
        <color auto="1"/>
      </right>
      <top style="medium">
        <color indexed="64"/>
      </top>
      <bottom style="thin">
        <color auto="1"/>
      </bottom>
      <diagonal/>
    </border>
    <border>
      <left/>
      <right style="thin">
        <color auto="1"/>
      </right>
      <top/>
      <bottom style="dotted">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64"/>
      </left>
      <right style="medium">
        <color auto="1"/>
      </right>
      <top style="thin">
        <color indexed="64"/>
      </top>
      <bottom/>
      <diagonal/>
    </border>
    <border>
      <left/>
      <right/>
      <top/>
      <bottom style="thin">
        <color indexed="64"/>
      </bottom>
      <diagonal/>
    </border>
    <border>
      <left style="thin">
        <color indexed="64"/>
      </left>
      <right style="thin">
        <color auto="1"/>
      </right>
      <top style="thin">
        <color auto="1"/>
      </top>
      <bottom/>
      <diagonal/>
    </border>
    <border>
      <left/>
      <right style="thin">
        <color auto="1"/>
      </right>
      <top style="thin">
        <color auto="1"/>
      </top>
      <bottom/>
      <diagonal/>
    </border>
    <border>
      <left/>
      <right style="hair">
        <color auto="1"/>
      </right>
      <top/>
      <bottom style="hair">
        <color auto="1"/>
      </bottom>
      <diagonal/>
    </border>
    <border>
      <left style="thin">
        <color indexed="64"/>
      </left>
      <right/>
      <top style="thin">
        <color indexed="64"/>
      </top>
      <bottom/>
      <diagonal/>
    </border>
    <border>
      <left style="dotted">
        <color indexed="64"/>
      </left>
      <right/>
      <top style="dotted">
        <color indexed="64"/>
      </top>
      <bottom style="dotted">
        <color indexed="64"/>
      </bottom>
      <diagonal/>
    </border>
    <border>
      <left style="medium">
        <color auto="1"/>
      </left>
      <right/>
      <top style="dotted">
        <color indexed="64"/>
      </top>
      <bottom style="dotted">
        <color indexed="64"/>
      </bottom>
      <diagonal/>
    </border>
    <border>
      <left/>
      <right/>
      <top style="dotted">
        <color indexed="64"/>
      </top>
      <bottom style="dotted">
        <color indexed="64"/>
      </bottom>
      <diagonal/>
    </border>
    <border>
      <left style="dotted">
        <color indexed="64"/>
      </left>
      <right/>
      <top style="medium">
        <color auto="1"/>
      </top>
      <bottom style="dotted">
        <color indexed="64"/>
      </bottom>
      <diagonal/>
    </border>
    <border>
      <left/>
      <right style="medium">
        <color indexed="64"/>
      </right>
      <top style="medium">
        <color auto="1"/>
      </top>
      <bottom style="dotted">
        <color indexed="64"/>
      </bottom>
      <diagonal/>
    </border>
    <border>
      <left/>
      <right/>
      <top style="dotted">
        <color indexed="64"/>
      </top>
      <bottom/>
      <diagonal/>
    </border>
    <border>
      <left style="dotted">
        <color indexed="64"/>
      </left>
      <right/>
      <top style="medium">
        <color auto="1"/>
      </top>
      <bottom/>
      <diagonal/>
    </border>
    <border>
      <left/>
      <right style="dotted">
        <color indexed="64"/>
      </right>
      <top style="medium">
        <color auto="1"/>
      </top>
      <bottom/>
      <diagonal/>
    </border>
    <border>
      <left style="thin">
        <color auto="1"/>
      </left>
      <right style="thin">
        <color auto="1"/>
      </right>
      <top style="thin">
        <color auto="1"/>
      </top>
      <bottom style="medium">
        <color indexed="64"/>
      </bottom>
      <diagonal/>
    </border>
    <border>
      <left/>
      <right style="medium">
        <color auto="1"/>
      </right>
      <top/>
      <bottom style="dotted">
        <color indexed="64"/>
      </bottom>
      <diagonal/>
    </border>
    <border>
      <left style="medium">
        <color auto="1"/>
      </left>
      <right style="dotted">
        <color indexed="64"/>
      </right>
      <top style="medium">
        <color indexed="64"/>
      </top>
      <bottom/>
      <diagonal/>
    </border>
    <border>
      <left style="medium">
        <color auto="1"/>
      </left>
      <right/>
      <top style="medium">
        <color auto="1"/>
      </top>
      <bottom style="dotted">
        <color indexed="64"/>
      </bottom>
      <diagonal/>
    </border>
    <border>
      <left style="medium">
        <color auto="1"/>
      </left>
      <right style="dotted">
        <color indexed="64"/>
      </right>
      <top style="medium">
        <color auto="1"/>
      </top>
      <bottom style="dotted">
        <color indexed="64"/>
      </bottom>
      <diagonal/>
    </border>
    <border>
      <left/>
      <right/>
      <top style="medium">
        <color auto="1"/>
      </top>
      <bottom style="dotted">
        <color indexed="64"/>
      </bottom>
      <diagonal/>
    </border>
    <border>
      <left style="dotted">
        <color indexed="64"/>
      </left>
      <right style="dotted">
        <color indexed="64"/>
      </right>
      <top/>
      <bottom/>
      <diagonal/>
    </border>
    <border>
      <left/>
      <right/>
      <top style="thin">
        <color auto="1"/>
      </top>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medium">
        <color indexed="64"/>
      </bottom>
      <diagonal/>
    </border>
    <border>
      <left style="medium">
        <color indexed="64"/>
      </left>
      <right style="thin">
        <color auto="1"/>
      </right>
      <top style="thin">
        <color auto="1"/>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bottom/>
      <diagonal/>
    </border>
    <border>
      <left style="thin">
        <color auto="1"/>
      </left>
      <right/>
      <top style="medium">
        <color indexed="64"/>
      </top>
      <bottom/>
      <diagonal/>
    </border>
    <border>
      <left style="thin">
        <color auto="1"/>
      </left>
      <right/>
      <top/>
      <bottom style="dotted">
        <color auto="1"/>
      </bottom>
      <diagonal/>
    </border>
    <border>
      <left/>
      <right/>
      <top/>
      <bottom style="dotted">
        <color auto="1"/>
      </bottom>
      <diagonal/>
    </border>
    <border>
      <left style="medium">
        <color indexed="64"/>
      </left>
      <right/>
      <top/>
      <bottom style="dotted">
        <color auto="1"/>
      </bottom>
      <diagonal/>
    </border>
    <border>
      <left style="dotted">
        <color indexed="64"/>
      </left>
      <right/>
      <top style="dotted">
        <color indexed="64"/>
      </top>
      <bottom/>
      <diagonal/>
    </border>
    <border>
      <left/>
      <right style="hair">
        <color auto="1"/>
      </right>
      <top/>
      <bottom style="medium">
        <color indexed="64"/>
      </bottom>
      <diagonal/>
    </border>
    <border>
      <left style="thin">
        <color indexed="64"/>
      </left>
      <right/>
      <top/>
      <bottom style="thin">
        <color indexed="64"/>
      </bottom>
      <diagonal/>
    </border>
    <border>
      <left style="medium">
        <color auto="1"/>
      </left>
      <right/>
      <top style="dotted">
        <color indexed="64"/>
      </top>
      <bottom/>
      <diagonal/>
    </border>
    <border>
      <left style="medium">
        <color auto="1"/>
      </left>
      <right style="dotted">
        <color indexed="64"/>
      </right>
      <top style="dotted">
        <color indexed="64"/>
      </top>
      <bottom/>
      <diagonal/>
    </border>
    <border>
      <left style="medium">
        <color indexed="64"/>
      </left>
      <right/>
      <top style="medium">
        <color indexed="64"/>
      </top>
      <bottom style="medium">
        <color auto="1"/>
      </bottom>
      <diagonal/>
    </border>
    <border>
      <left style="medium">
        <color auto="1"/>
      </left>
      <right style="medium">
        <color indexed="64"/>
      </right>
      <top/>
      <bottom style="medium">
        <color auto="1"/>
      </bottom>
      <diagonal/>
    </border>
    <border>
      <left style="dotted">
        <color indexed="64"/>
      </left>
      <right/>
      <top/>
      <bottom style="dotted">
        <color indexed="64"/>
      </bottom>
      <diagonal/>
    </border>
    <border>
      <left style="dotted">
        <color indexed="64"/>
      </left>
      <right/>
      <top/>
      <bottom/>
      <diagonal/>
    </border>
    <border>
      <left style="dotted">
        <color indexed="64"/>
      </left>
      <right/>
      <top/>
      <bottom style="medium">
        <color auto="1"/>
      </bottom>
      <diagonal/>
    </border>
    <border>
      <left style="thin">
        <color indexed="64"/>
      </left>
      <right/>
      <top style="thin">
        <color indexed="64"/>
      </top>
      <bottom style="medium">
        <color auto="1"/>
      </bottom>
      <diagonal/>
    </border>
    <border>
      <left/>
      <right/>
      <top style="thin">
        <color indexed="64"/>
      </top>
      <bottom style="medium">
        <color auto="1"/>
      </bottom>
      <diagonal/>
    </border>
    <border>
      <left/>
      <right style="thin">
        <color auto="1"/>
      </right>
      <top style="thin">
        <color auto="1"/>
      </top>
      <bottom style="medium">
        <color auto="1"/>
      </bottom>
      <diagonal/>
    </border>
    <border>
      <left/>
      <right style="thin">
        <color auto="1"/>
      </right>
      <top style="dotted">
        <color auto="1"/>
      </top>
      <bottom/>
      <diagonal/>
    </border>
    <border>
      <left style="thin">
        <color auto="1"/>
      </left>
      <right/>
      <top style="dotted">
        <color auto="1"/>
      </top>
      <bottom/>
      <diagonal/>
    </border>
    <border>
      <left/>
      <right style="medium">
        <color indexed="64"/>
      </right>
      <top style="dotted">
        <color auto="1"/>
      </top>
      <bottom/>
      <diagonal/>
    </border>
    <border>
      <left style="thin">
        <color indexed="64"/>
      </left>
      <right style="thin">
        <color auto="1"/>
      </right>
      <top/>
      <bottom style="thin">
        <color indexed="64"/>
      </bottom>
      <diagonal/>
    </border>
    <border>
      <left/>
      <right style="dotted">
        <color indexed="64"/>
      </right>
      <top style="thin">
        <color indexed="64"/>
      </top>
      <bottom/>
      <diagonal/>
    </border>
    <border>
      <left/>
      <right style="dotted">
        <color indexed="64"/>
      </right>
      <top/>
      <bottom style="thin">
        <color indexed="64"/>
      </bottom>
      <diagonal/>
    </border>
    <border>
      <left style="thin">
        <color indexed="64"/>
      </left>
      <right style="thin">
        <color auto="1"/>
      </right>
      <top style="thin">
        <color indexed="64"/>
      </top>
      <bottom style="hair">
        <color indexed="64"/>
      </bottom>
      <diagonal/>
    </border>
    <border>
      <left/>
      <right/>
      <top style="thin">
        <color indexed="64"/>
      </top>
      <bottom style="hair">
        <color indexed="64"/>
      </bottom>
      <diagonal/>
    </border>
    <border>
      <left style="thin">
        <color indexed="64"/>
      </left>
      <right style="thin">
        <color auto="1"/>
      </right>
      <top style="hair">
        <color indexed="64"/>
      </top>
      <bottom style="dotted">
        <color auto="1"/>
      </bottom>
      <diagonal/>
    </border>
    <border>
      <left/>
      <right/>
      <top style="hair">
        <color indexed="64"/>
      </top>
      <bottom style="dotted">
        <color auto="1"/>
      </bottom>
      <diagonal/>
    </border>
    <border>
      <left/>
      <right/>
      <top style="dotted">
        <color auto="1"/>
      </top>
      <bottom style="hair">
        <color indexed="64"/>
      </bottom>
      <diagonal/>
    </border>
    <border>
      <left style="thin">
        <color indexed="64"/>
      </left>
      <right style="thin">
        <color indexed="64"/>
      </right>
      <top/>
      <bottom style="hair">
        <color indexed="64"/>
      </bottom>
      <diagonal/>
    </border>
    <border>
      <left style="thin">
        <color theme="2" tint="-0.249977111117893"/>
      </left>
      <right/>
      <top style="thin">
        <color indexed="64"/>
      </top>
      <bottom style="hair">
        <color indexed="64"/>
      </bottom>
      <diagonal/>
    </border>
    <border>
      <left style="thin">
        <color theme="2" tint="-0.249977111117893"/>
      </left>
      <right/>
      <top style="hair">
        <color indexed="64"/>
      </top>
      <bottom style="dotted">
        <color auto="1"/>
      </bottom>
      <diagonal/>
    </border>
    <border>
      <left style="thin">
        <color theme="2" tint="-0.249977111117893"/>
      </left>
      <right/>
      <top/>
      <bottom/>
      <diagonal/>
    </border>
    <border>
      <left style="thin">
        <color theme="2" tint="-0.249977111117893"/>
      </left>
      <right/>
      <top style="dotted">
        <color auto="1"/>
      </top>
      <bottom style="hair">
        <color indexed="64"/>
      </bottom>
      <diagonal/>
    </border>
    <border>
      <left style="thin">
        <color theme="2" tint="-0.249977111117893"/>
      </left>
      <right/>
      <top/>
      <bottom style="dotted">
        <color auto="1"/>
      </bottom>
      <diagonal/>
    </border>
    <border>
      <left style="thin">
        <color theme="2" tint="-0.249977111117893"/>
      </left>
      <right/>
      <top/>
      <bottom style="thin">
        <color indexed="64"/>
      </bottom>
      <diagonal/>
    </border>
    <border>
      <left style="thin">
        <color theme="2" tint="-0.249977111117893"/>
      </left>
      <right style="dotted">
        <color indexed="64"/>
      </right>
      <top style="thin">
        <color indexed="64"/>
      </top>
      <bottom/>
      <diagonal/>
    </border>
    <border>
      <left style="thin">
        <color theme="2" tint="-0.249977111117893"/>
      </left>
      <right style="dotted">
        <color indexed="64"/>
      </right>
      <top/>
      <bottom style="thin">
        <color indexed="64"/>
      </bottom>
      <diagonal/>
    </border>
    <border>
      <left style="thin">
        <color indexed="64"/>
      </left>
      <right style="thin">
        <color auto="1"/>
      </right>
      <top style="hair">
        <color indexed="64"/>
      </top>
      <bottom/>
      <diagonal/>
    </border>
    <border>
      <left style="medium">
        <color auto="1"/>
      </left>
      <right/>
      <top/>
      <bottom style="thin">
        <color auto="1"/>
      </bottom>
      <diagonal/>
    </border>
    <border>
      <left style="thin">
        <color indexed="64"/>
      </left>
      <right style="thin">
        <color auto="1"/>
      </right>
      <top style="hair">
        <color indexed="64"/>
      </top>
      <bottom style="thin">
        <color auto="1"/>
      </bottom>
      <diagonal/>
    </border>
    <border>
      <left/>
      <right style="medium">
        <color auto="1"/>
      </right>
      <top/>
      <bottom style="thin">
        <color auto="1"/>
      </bottom>
      <diagonal/>
    </border>
    <border>
      <left style="thin">
        <color indexed="64"/>
      </left>
      <right style="thin">
        <color auto="1"/>
      </right>
      <top style="dotted">
        <color theme="1"/>
      </top>
      <bottom style="hair">
        <color indexed="64"/>
      </bottom>
      <diagonal/>
    </border>
    <border>
      <left/>
      <right/>
      <top style="dotted">
        <color theme="1"/>
      </top>
      <bottom style="hair">
        <color indexed="64"/>
      </bottom>
      <diagonal/>
    </border>
    <border>
      <left style="thin">
        <color theme="2" tint="-0.249977111117893"/>
      </left>
      <right/>
      <top style="dotted">
        <color theme="1"/>
      </top>
      <bottom style="hair">
        <color indexed="64"/>
      </bottom>
      <diagonal/>
    </border>
    <border>
      <left/>
      <right/>
      <top/>
      <bottom style="hair">
        <color indexed="64"/>
      </bottom>
      <diagonal/>
    </border>
    <border>
      <left style="thin">
        <color theme="2" tint="-0.249977111117893"/>
      </left>
      <right/>
      <top/>
      <bottom style="hair">
        <color indexed="64"/>
      </bottom>
      <diagonal/>
    </border>
    <border>
      <left style="thin">
        <color auto="1"/>
      </left>
      <right/>
      <top style="dotted">
        <color theme="1"/>
      </top>
      <bottom style="hair">
        <color indexed="64"/>
      </bottom>
      <diagonal/>
    </border>
    <border>
      <left style="thin">
        <color theme="2" tint="-0.249977111117893"/>
      </left>
      <right style="thin">
        <color indexed="64"/>
      </right>
      <top style="dotted">
        <color theme="1"/>
      </top>
      <bottom style="hair">
        <color indexed="64"/>
      </bottom>
      <diagonal/>
    </border>
  </borders>
  <cellStyleXfs count="1">
    <xf numFmtId="0" fontId="0" fillId="0" borderId="0"/>
  </cellStyleXfs>
  <cellXfs count="277">
    <xf numFmtId="0" fontId="0" fillId="0" borderId="0" xfId="0"/>
    <xf numFmtId="0" fontId="5" fillId="0" borderId="14" xfId="0" applyFont="1" applyBorder="1" applyAlignment="1">
      <alignment horizontal="left" vertical="top" wrapText="1"/>
    </xf>
    <xf numFmtId="0" fontId="6" fillId="0" borderId="14" xfId="0" applyFont="1" applyBorder="1" applyAlignment="1">
      <alignment horizontal="left" vertical="top" wrapText="1"/>
    </xf>
    <xf numFmtId="0" fontId="7" fillId="0" borderId="14" xfId="0" applyFont="1" applyBorder="1" applyAlignment="1">
      <alignment horizontal="left" vertical="top" wrapText="1"/>
    </xf>
    <xf numFmtId="0" fontId="8" fillId="0" borderId="14" xfId="0" applyFont="1" applyBorder="1" applyAlignment="1">
      <alignment horizontal="left" vertical="top" wrapText="1"/>
    </xf>
    <xf numFmtId="0" fontId="7" fillId="7" borderId="14" xfId="0" applyFont="1" applyFill="1" applyBorder="1" applyAlignment="1">
      <alignment horizontal="left" vertical="top" wrapText="1"/>
    </xf>
    <xf numFmtId="0" fontId="0" fillId="0" borderId="0" xfId="0" applyAlignment="1">
      <alignment horizontal="center"/>
    </xf>
    <xf numFmtId="0" fontId="2" fillId="0" borderId="19" xfId="0" applyFont="1" applyBorder="1" applyAlignment="1">
      <alignment vertical="center"/>
    </xf>
    <xf numFmtId="0" fontId="9" fillId="2" borderId="6" xfId="0" applyFont="1" applyFill="1" applyBorder="1" applyAlignment="1">
      <alignment horizontal="center" vertical="center"/>
    </xf>
    <xf numFmtId="0" fontId="9" fillId="2" borderId="7" xfId="0" applyFont="1" applyFill="1" applyBorder="1" applyAlignment="1">
      <alignment horizontal="center" vertical="center"/>
    </xf>
    <xf numFmtId="0" fontId="9" fillId="2" borderId="5" xfId="0" applyFont="1" applyFill="1" applyBorder="1" applyAlignment="1">
      <alignment horizontal="center" vertical="center"/>
    </xf>
    <xf numFmtId="0" fontId="9" fillId="3" borderId="5" xfId="0" applyFont="1" applyFill="1" applyBorder="1" applyAlignment="1">
      <alignment horizontal="center" vertical="center"/>
    </xf>
    <xf numFmtId="0" fontId="9" fillId="3" borderId="7" xfId="0" applyFont="1" applyFill="1" applyBorder="1" applyAlignment="1">
      <alignment horizontal="center" vertical="center"/>
    </xf>
    <xf numFmtId="0" fontId="9" fillId="4" borderId="5" xfId="0" applyFont="1" applyFill="1" applyBorder="1" applyAlignment="1">
      <alignment horizontal="center" vertical="center"/>
    </xf>
    <xf numFmtId="0" fontId="9" fillId="4" borderId="7" xfId="0" applyFont="1" applyFill="1" applyBorder="1" applyAlignment="1">
      <alignment horizontal="center" vertical="center"/>
    </xf>
    <xf numFmtId="0" fontId="9" fillId="5" borderId="5" xfId="0" applyFont="1" applyFill="1" applyBorder="1" applyAlignment="1">
      <alignment horizontal="center" vertical="center"/>
    </xf>
    <xf numFmtId="0" fontId="9" fillId="5" borderId="7" xfId="0" applyFont="1" applyFill="1" applyBorder="1" applyAlignment="1">
      <alignment horizontal="center" vertical="center"/>
    </xf>
    <xf numFmtId="0" fontId="2" fillId="0" borderId="10" xfId="0" applyFont="1" applyBorder="1" applyAlignment="1">
      <alignment vertical="center"/>
    </xf>
    <xf numFmtId="0" fontId="2" fillId="0" borderId="12" xfId="0" applyFont="1" applyBorder="1" applyAlignment="1">
      <alignment vertical="center"/>
    </xf>
    <xf numFmtId="0" fontId="2" fillId="0" borderId="0" xfId="0" applyFont="1" applyBorder="1"/>
    <xf numFmtId="0" fontId="2" fillId="0" borderId="56" xfId="0" applyFont="1" applyBorder="1" applyAlignment="1">
      <alignment vertical="center"/>
    </xf>
    <xf numFmtId="0" fontId="2" fillId="0" borderId="2" xfId="0" applyFont="1" applyBorder="1" applyAlignment="1">
      <alignment vertical="center"/>
    </xf>
    <xf numFmtId="0" fontId="2" fillId="0" borderId="11" xfId="0" applyFont="1" applyBorder="1" applyAlignment="1">
      <alignment vertical="center"/>
    </xf>
    <xf numFmtId="0" fontId="2" fillId="0" borderId="3" xfId="0" applyFont="1" applyBorder="1" applyAlignment="1">
      <alignment vertical="center"/>
    </xf>
    <xf numFmtId="0" fontId="2" fillId="0" borderId="37" xfId="0" applyFont="1" applyBorder="1" applyAlignment="1">
      <alignment vertical="center"/>
    </xf>
    <xf numFmtId="0" fontId="2" fillId="0" borderId="38" xfId="0" applyFont="1" applyBorder="1" applyAlignment="1">
      <alignment vertical="center"/>
    </xf>
    <xf numFmtId="0" fontId="2" fillId="0" borderId="45" xfId="0" applyFont="1" applyBorder="1" applyAlignment="1">
      <alignment vertical="center"/>
    </xf>
    <xf numFmtId="0" fontId="3" fillId="0" borderId="11" xfId="0" applyFont="1" applyFill="1" applyBorder="1" applyAlignment="1">
      <alignment horizontal="right" vertical="center"/>
    </xf>
    <xf numFmtId="0" fontId="2" fillId="0" borderId="8" xfId="0" applyFont="1" applyFill="1" applyBorder="1"/>
    <xf numFmtId="0" fontId="9" fillId="0" borderId="29" xfId="0" applyFont="1" applyFill="1" applyBorder="1" applyAlignment="1">
      <alignment vertical="center"/>
    </xf>
    <xf numFmtId="0" fontId="9" fillId="0" borderId="13" xfId="0" applyFont="1" applyFill="1" applyBorder="1" applyAlignment="1">
      <alignment vertical="center"/>
    </xf>
    <xf numFmtId="0" fontId="3" fillId="0" borderId="12" xfId="0" applyFont="1" applyFill="1" applyBorder="1" applyAlignment="1">
      <alignment vertical="center"/>
    </xf>
    <xf numFmtId="0" fontId="9" fillId="0" borderId="17" xfId="0" applyFont="1" applyFill="1" applyBorder="1" applyAlignment="1">
      <alignment horizontal="center" vertical="center"/>
    </xf>
    <xf numFmtId="0" fontId="9" fillId="0" borderId="0" xfId="0" applyFont="1" applyFill="1" applyBorder="1" applyAlignment="1">
      <alignment horizontal="center" vertical="center"/>
    </xf>
    <xf numFmtId="0" fontId="9" fillId="0" borderId="15" xfId="0" applyFont="1" applyFill="1" applyBorder="1" applyAlignment="1">
      <alignment horizontal="center" vertical="center"/>
    </xf>
    <xf numFmtId="0" fontId="2" fillId="0" borderId="65" xfId="0" applyFont="1" applyBorder="1" applyAlignment="1">
      <alignment vertical="center"/>
    </xf>
    <xf numFmtId="0" fontId="11" fillId="0" borderId="0" xfId="0" applyFont="1" applyFill="1"/>
    <xf numFmtId="0" fontId="11" fillId="0" borderId="0" xfId="0" applyFont="1" applyFill="1" applyAlignment="1">
      <alignment horizontal="center"/>
    </xf>
    <xf numFmtId="0" fontId="11" fillId="9" borderId="0" xfId="0" applyFont="1" applyFill="1"/>
    <xf numFmtId="0" fontId="0" fillId="0" borderId="0" xfId="0" applyFill="1" applyAlignment="1">
      <alignment horizontal="center"/>
    </xf>
    <xf numFmtId="0" fontId="14" fillId="0" borderId="0" xfId="0" applyFont="1" applyFill="1"/>
    <xf numFmtId="0" fontId="14" fillId="0" borderId="0" xfId="0" applyFont="1"/>
    <xf numFmtId="0" fontId="14" fillId="0" borderId="0" xfId="0" applyFont="1" applyFill="1" applyAlignment="1">
      <alignment horizontal="center"/>
    </xf>
    <xf numFmtId="0" fontId="14" fillId="0" borderId="0" xfId="0" applyFont="1" applyAlignment="1">
      <alignment horizontal="center"/>
    </xf>
    <xf numFmtId="165" fontId="2" fillId="0" borderId="75" xfId="0" applyNumberFormat="1" applyFont="1" applyBorder="1" applyAlignment="1">
      <alignment vertical="center"/>
    </xf>
    <xf numFmtId="0" fontId="10" fillId="11" borderId="82" xfId="0" applyFont="1" applyFill="1" applyBorder="1" applyAlignment="1">
      <alignment horizontal="center" vertical="center" wrapText="1"/>
    </xf>
    <xf numFmtId="0" fontId="10" fillId="11" borderId="79" xfId="0" applyFont="1" applyFill="1" applyBorder="1" applyAlignment="1">
      <alignment horizontal="center" vertical="center" wrapText="1"/>
    </xf>
    <xf numFmtId="165" fontId="2" fillId="0" borderId="89" xfId="0" applyNumberFormat="1" applyFont="1" applyBorder="1" applyAlignment="1">
      <alignment vertical="center"/>
    </xf>
    <xf numFmtId="0" fontId="2" fillId="0" borderId="20" xfId="0" applyFont="1" applyBorder="1" applyAlignment="1">
      <alignment vertical="center"/>
    </xf>
    <xf numFmtId="0" fontId="10" fillId="11" borderId="77" xfId="0" applyFont="1" applyFill="1" applyBorder="1" applyAlignment="1">
      <alignment horizontal="center" vertical="center" wrapText="1"/>
    </xf>
    <xf numFmtId="165" fontId="10" fillId="0" borderId="27" xfId="0" applyNumberFormat="1" applyFont="1" applyBorder="1" applyAlignment="1">
      <alignment horizontal="center" vertical="center"/>
    </xf>
    <xf numFmtId="0" fontId="10" fillId="0" borderId="74" xfId="0" applyFont="1" applyBorder="1" applyAlignment="1">
      <alignment horizontal="center" vertical="center"/>
    </xf>
    <xf numFmtId="0" fontId="16" fillId="0" borderId="0" xfId="0" applyFont="1" applyFill="1"/>
    <xf numFmtId="0" fontId="14" fillId="0" borderId="0" xfId="0" applyFont="1" applyFill="1" applyBorder="1" applyAlignment="1">
      <alignment horizontal="center"/>
    </xf>
    <xf numFmtId="0" fontId="10" fillId="0" borderId="82" xfId="0" applyFont="1" applyFill="1" applyBorder="1" applyAlignment="1">
      <alignment horizontal="center" vertical="center" wrapText="1"/>
    </xf>
    <xf numFmtId="0" fontId="10" fillId="0" borderId="79" xfId="0" applyFont="1" applyFill="1" applyBorder="1" applyAlignment="1">
      <alignment horizontal="center" vertical="center" wrapText="1"/>
    </xf>
    <xf numFmtId="0" fontId="10" fillId="0" borderId="91" xfId="0" applyFont="1" applyFill="1" applyBorder="1" applyAlignment="1">
      <alignment horizontal="center" vertical="center" wrapText="1"/>
    </xf>
    <xf numFmtId="0" fontId="10" fillId="11" borderId="93" xfId="0" applyFont="1" applyFill="1" applyBorder="1" applyAlignment="1">
      <alignment horizontal="center" vertical="center" wrapText="1"/>
    </xf>
    <xf numFmtId="0" fontId="10" fillId="11" borderId="95" xfId="0" applyFont="1" applyFill="1" applyBorder="1" applyAlignment="1">
      <alignment horizontal="center" vertical="center" wrapText="1"/>
    </xf>
    <xf numFmtId="0" fontId="2" fillId="0" borderId="64" xfId="0" applyFont="1" applyBorder="1" applyAlignment="1">
      <alignment vertical="center"/>
    </xf>
    <xf numFmtId="0" fontId="10" fillId="20" borderId="84" xfId="0" applyFont="1" applyFill="1" applyBorder="1" applyAlignment="1">
      <alignment horizontal="center" vertical="center" wrapText="1"/>
    </xf>
    <xf numFmtId="0" fontId="10" fillId="20" borderId="85" xfId="0" applyFont="1" applyFill="1" applyBorder="1" applyAlignment="1">
      <alignment horizontal="center" vertical="center" wrapText="1"/>
    </xf>
    <xf numFmtId="0" fontId="10" fillId="21" borderId="84" xfId="0" applyFont="1" applyFill="1" applyBorder="1" applyAlignment="1">
      <alignment horizontal="center" vertical="center" wrapText="1"/>
    </xf>
    <xf numFmtId="0" fontId="10" fillId="20" borderId="81" xfId="0" applyFont="1" applyFill="1" applyBorder="1" applyAlignment="1">
      <alignment horizontal="center" vertical="center" wrapText="1"/>
    </xf>
    <xf numFmtId="0" fontId="10" fillId="21" borderId="78" xfId="0" applyFont="1" applyFill="1" applyBorder="1" applyAlignment="1">
      <alignment horizontal="center" vertical="center" wrapText="1"/>
    </xf>
    <xf numFmtId="0" fontId="10" fillId="21" borderId="83" xfId="0" applyFont="1" applyFill="1" applyBorder="1" applyAlignment="1">
      <alignment horizontal="center" vertical="center" wrapText="1"/>
    </xf>
    <xf numFmtId="0" fontId="10" fillId="20" borderId="83" xfId="0" applyFont="1" applyFill="1" applyBorder="1" applyAlignment="1">
      <alignment horizontal="center" vertical="center" wrapText="1"/>
    </xf>
    <xf numFmtId="0" fontId="10" fillId="21" borderId="80" xfId="0" applyFont="1" applyFill="1" applyBorder="1" applyAlignment="1">
      <alignment horizontal="center" vertical="center" wrapText="1"/>
    </xf>
    <xf numFmtId="0" fontId="10" fillId="20" borderId="0" xfId="0" applyFont="1" applyFill="1" applyBorder="1" applyAlignment="1">
      <alignment horizontal="center" vertical="center" wrapText="1"/>
    </xf>
    <xf numFmtId="0" fontId="10" fillId="20" borderId="80" xfId="0" applyFont="1" applyFill="1" applyBorder="1" applyAlignment="1">
      <alignment horizontal="center" vertical="center" wrapText="1"/>
    </xf>
    <xf numFmtId="0" fontId="10" fillId="20" borderId="86" xfId="0" applyFont="1" applyFill="1" applyBorder="1" applyAlignment="1">
      <alignment horizontal="center" vertical="center" wrapText="1"/>
    </xf>
    <xf numFmtId="0" fontId="10" fillId="20" borderId="56" xfId="0" applyFont="1" applyFill="1" applyBorder="1" applyAlignment="1">
      <alignment horizontal="center" vertical="center" wrapText="1"/>
    </xf>
    <xf numFmtId="0" fontId="10" fillId="20" borderId="87" xfId="0" applyFont="1" applyFill="1" applyBorder="1" applyAlignment="1">
      <alignment horizontal="center" vertical="center" wrapText="1"/>
    </xf>
    <xf numFmtId="0" fontId="10" fillId="22" borderId="56" xfId="0" applyFont="1" applyFill="1" applyBorder="1" applyAlignment="1">
      <alignment horizontal="center" vertical="center" wrapText="1"/>
    </xf>
    <xf numFmtId="0" fontId="10" fillId="22" borderId="87" xfId="0" applyFont="1" applyFill="1" applyBorder="1" applyAlignment="1">
      <alignment horizontal="center" vertical="center" wrapText="1"/>
    </xf>
    <xf numFmtId="0" fontId="10" fillId="20" borderId="97" xfId="0" applyFont="1" applyFill="1" applyBorder="1" applyAlignment="1">
      <alignment horizontal="center" vertical="center" wrapText="1"/>
    </xf>
    <xf numFmtId="0" fontId="22" fillId="0" borderId="23" xfId="0" applyFont="1" applyBorder="1" applyAlignment="1">
      <alignment vertical="center"/>
    </xf>
    <xf numFmtId="0" fontId="22" fillId="0" borderId="23" xfId="0" applyFont="1" applyBorder="1" applyAlignment="1"/>
    <xf numFmtId="0" fontId="23" fillId="0" borderId="22" xfId="0" applyFont="1" applyBorder="1" applyAlignment="1">
      <alignment vertical="center" wrapText="1"/>
    </xf>
    <xf numFmtId="0" fontId="23" fillId="0" borderId="22" xfId="0" applyFont="1" applyBorder="1" applyAlignment="1">
      <alignment wrapText="1"/>
    </xf>
    <xf numFmtId="0" fontId="23" fillId="0" borderId="23" xfId="0" applyFont="1" applyBorder="1" applyAlignment="1">
      <alignment vertical="center" wrapText="1"/>
    </xf>
    <xf numFmtId="0" fontId="24" fillId="0" borderId="0" xfId="0" applyFont="1"/>
    <xf numFmtId="0" fontId="10" fillId="20" borderId="100" xfId="0" applyFont="1" applyFill="1" applyBorder="1" applyAlignment="1">
      <alignment horizontal="center" vertical="center" wrapText="1"/>
    </xf>
    <xf numFmtId="0" fontId="10" fillId="20" borderId="101" xfId="0" applyFont="1" applyFill="1" applyBorder="1" applyAlignment="1">
      <alignment horizontal="center" vertical="center" wrapText="1"/>
    </xf>
    <xf numFmtId="0" fontId="10" fillId="20" borderId="98" xfId="0" applyFont="1" applyFill="1" applyBorder="1" applyAlignment="1">
      <alignment horizontal="center" vertical="center" wrapText="1"/>
    </xf>
    <xf numFmtId="0" fontId="10" fillId="20" borderId="99" xfId="0" applyFont="1" applyFill="1" applyBorder="1" applyAlignment="1">
      <alignment horizontal="center" vertical="center" wrapText="1"/>
    </xf>
    <xf numFmtId="0" fontId="10" fillId="20" borderId="96" xfId="0" applyFont="1" applyFill="1" applyBorder="1" applyAlignment="1">
      <alignment horizontal="center" vertical="center" wrapText="1"/>
    </xf>
    <xf numFmtId="0" fontId="24" fillId="0" borderId="0" xfId="0" applyFont="1" applyFill="1"/>
    <xf numFmtId="166" fontId="2" fillId="0" borderId="76" xfId="0" applyNumberFormat="1" applyFont="1" applyBorder="1" applyAlignment="1">
      <alignment vertical="center"/>
    </xf>
    <xf numFmtId="166" fontId="2" fillId="0" borderId="90" xfId="0" applyNumberFormat="1" applyFont="1" applyBorder="1" applyAlignment="1">
      <alignment vertical="center"/>
    </xf>
    <xf numFmtId="166" fontId="2" fillId="0" borderId="88" xfId="0" applyNumberFormat="1" applyFont="1" applyBorder="1" applyAlignment="1">
      <alignment vertical="center"/>
    </xf>
    <xf numFmtId="0" fontId="17" fillId="0" borderId="0" xfId="0" applyFont="1" applyFill="1" applyAlignment="1">
      <alignment horizontal="center"/>
    </xf>
    <xf numFmtId="14" fontId="17" fillId="0" borderId="0" xfId="0" applyNumberFormat="1" applyFont="1" applyFill="1" applyAlignment="1">
      <alignment horizontal="center"/>
    </xf>
    <xf numFmtId="0" fontId="2" fillId="0" borderId="4" xfId="0" applyFont="1" applyBorder="1" applyAlignment="1">
      <alignment horizontal="center" vertical="center" wrapText="1"/>
    </xf>
    <xf numFmtId="0" fontId="2" fillId="0" borderId="2" xfId="0" applyFont="1" applyBorder="1" applyAlignment="1">
      <alignment horizontal="center" vertical="center" wrapText="1"/>
    </xf>
    <xf numFmtId="0" fontId="2" fillId="0" borderId="8" xfId="0" applyFont="1" applyBorder="1" applyAlignment="1">
      <alignment horizontal="center" vertical="center" wrapText="1"/>
    </xf>
    <xf numFmtId="0" fontId="2" fillId="0" borderId="0" xfId="0" applyFont="1" applyBorder="1" applyAlignment="1">
      <alignment horizontal="center" vertical="center" wrapText="1"/>
    </xf>
    <xf numFmtId="0" fontId="2" fillId="0" borderId="4" xfId="0" applyFont="1" applyBorder="1" applyAlignment="1">
      <alignment horizontal="center" vertical="center"/>
    </xf>
    <xf numFmtId="0" fontId="2" fillId="0" borderId="2" xfId="0" applyFont="1" applyBorder="1" applyAlignment="1">
      <alignment horizontal="center" vertical="center"/>
    </xf>
    <xf numFmtId="0" fontId="2" fillId="0" borderId="19" xfId="0" applyFont="1" applyBorder="1" applyAlignment="1">
      <alignment horizontal="center" vertical="center"/>
    </xf>
    <xf numFmtId="0" fontId="2" fillId="0" borderId="10"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18" fillId="0" borderId="4" xfId="0" applyFont="1" applyFill="1" applyBorder="1" applyAlignment="1">
      <alignment horizontal="center" vertical="center" wrapText="1"/>
    </xf>
    <xf numFmtId="0" fontId="18" fillId="0" borderId="2" xfId="0" applyFont="1" applyFill="1" applyBorder="1" applyAlignment="1">
      <alignment horizontal="center" vertical="center" wrapText="1"/>
    </xf>
    <xf numFmtId="0" fontId="18" fillId="0" borderId="19" xfId="0" applyFont="1" applyFill="1" applyBorder="1" applyAlignment="1">
      <alignment horizontal="center" vertical="center" wrapText="1"/>
    </xf>
    <xf numFmtId="0" fontId="18" fillId="0" borderId="8" xfId="0" applyFont="1" applyFill="1" applyBorder="1" applyAlignment="1">
      <alignment horizontal="center" vertical="center" wrapText="1"/>
    </xf>
    <xf numFmtId="0" fontId="18" fillId="0" borderId="0" xfId="0" applyFont="1" applyFill="1" applyBorder="1" applyAlignment="1">
      <alignment horizontal="center" vertical="center" wrapText="1"/>
    </xf>
    <xf numFmtId="0" fontId="18" fillId="0" borderId="9" xfId="0" applyFont="1" applyFill="1" applyBorder="1" applyAlignment="1">
      <alignment horizontal="center" vertical="center" wrapText="1"/>
    </xf>
    <xf numFmtId="0" fontId="18" fillId="0" borderId="92" xfId="0" applyFont="1" applyFill="1" applyBorder="1" applyAlignment="1">
      <alignment horizontal="center" vertical="center" wrapText="1"/>
    </xf>
    <xf numFmtId="0" fontId="18" fillId="0" borderId="26" xfId="0" applyFont="1" applyFill="1" applyBorder="1" applyAlignment="1">
      <alignment horizontal="center" vertical="center" wrapText="1"/>
    </xf>
    <xf numFmtId="0" fontId="18" fillId="0" borderId="94" xfId="0" applyFont="1" applyFill="1" applyBorder="1" applyAlignment="1">
      <alignment horizontal="center" vertical="center" wrapText="1"/>
    </xf>
    <xf numFmtId="0" fontId="17" fillId="19" borderId="8" xfId="0" applyFont="1" applyFill="1" applyBorder="1" applyAlignment="1">
      <alignment horizontal="center" vertical="center"/>
    </xf>
    <xf numFmtId="0" fontId="20" fillId="13" borderId="8" xfId="0" applyFont="1" applyFill="1" applyBorder="1" applyAlignment="1">
      <alignment horizontal="center" vertical="center"/>
    </xf>
    <xf numFmtId="0" fontId="20" fillId="13" borderId="10" xfId="0" applyFont="1" applyFill="1" applyBorder="1" applyAlignment="1">
      <alignment horizontal="center" vertical="center"/>
    </xf>
    <xf numFmtId="0" fontId="11" fillId="0" borderId="0" xfId="0" applyFont="1" applyFill="1" applyBorder="1" applyAlignment="1">
      <alignment horizontal="center"/>
    </xf>
    <xf numFmtId="0" fontId="11" fillId="0" borderId="9" xfId="0" applyFont="1" applyFill="1" applyBorder="1" applyAlignment="1">
      <alignment horizontal="center"/>
    </xf>
    <xf numFmtId="0" fontId="11" fillId="0" borderId="11" xfId="0" applyFont="1" applyFill="1" applyBorder="1" applyAlignment="1">
      <alignment horizontal="center"/>
    </xf>
    <xf numFmtId="0" fontId="11" fillId="0" borderId="12" xfId="0" applyFont="1" applyFill="1" applyBorder="1" applyAlignment="1">
      <alignment horizontal="center"/>
    </xf>
    <xf numFmtId="0" fontId="3" fillId="0" borderId="4" xfId="0" applyFont="1" applyBorder="1" applyAlignment="1">
      <alignment horizontal="right" vertical="center"/>
    </xf>
    <xf numFmtId="0" fontId="3" fillId="0" borderId="2" xfId="0" applyFont="1" applyBorder="1" applyAlignment="1">
      <alignment horizontal="right" vertical="center"/>
    </xf>
    <xf numFmtId="0" fontId="3" fillId="0" borderId="8" xfId="0" applyFont="1" applyBorder="1" applyAlignment="1">
      <alignment horizontal="right" vertical="center"/>
    </xf>
    <xf numFmtId="0" fontId="3" fillId="0" borderId="0" xfId="0" applyFont="1" applyBorder="1" applyAlignment="1">
      <alignment horizontal="right" vertical="center"/>
    </xf>
    <xf numFmtId="0" fontId="3" fillId="0" borderId="10" xfId="0" applyFont="1" applyBorder="1" applyAlignment="1">
      <alignment horizontal="right" vertical="center"/>
    </xf>
    <xf numFmtId="0" fontId="3" fillId="0" borderId="11" xfId="0" applyFont="1" applyBorder="1" applyAlignment="1">
      <alignment horizontal="right" vertical="center"/>
    </xf>
    <xf numFmtId="0" fontId="3" fillId="0" borderId="2" xfId="0" applyFont="1" applyBorder="1" applyAlignment="1">
      <alignment horizontal="center" vertical="center"/>
    </xf>
    <xf numFmtId="0" fontId="3" fillId="0" borderId="19" xfId="0" applyFont="1" applyBorder="1" applyAlignment="1">
      <alignment horizontal="center" vertical="center"/>
    </xf>
    <xf numFmtId="0" fontId="3" fillId="0" borderId="0" xfId="0" applyFont="1" applyBorder="1" applyAlignment="1">
      <alignment horizontal="center" vertical="center"/>
    </xf>
    <xf numFmtId="0" fontId="3" fillId="0" borderId="9" xfId="0" applyFont="1" applyBorder="1" applyAlignment="1">
      <alignment horizontal="center" vertical="center"/>
    </xf>
    <xf numFmtId="0" fontId="3" fillId="0" borderId="11" xfId="0" applyFont="1" applyBorder="1" applyAlignment="1">
      <alignment horizontal="center" vertical="center"/>
    </xf>
    <xf numFmtId="0" fontId="3" fillId="0" borderId="12" xfId="0" applyFont="1" applyBorder="1" applyAlignment="1">
      <alignment horizontal="center" vertical="center"/>
    </xf>
    <xf numFmtId="0" fontId="9" fillId="0" borderId="22" xfId="0" applyFont="1" applyBorder="1" applyAlignment="1">
      <alignment horizontal="center" vertical="center"/>
    </xf>
    <xf numFmtId="0" fontId="9" fillId="0" borderId="23" xfId="0" applyFont="1" applyBorder="1" applyAlignment="1">
      <alignment horizontal="center" vertical="center"/>
    </xf>
    <xf numFmtId="0" fontId="9" fillId="0" borderId="24" xfId="0" applyFont="1" applyBorder="1" applyAlignment="1">
      <alignment horizontal="center" vertical="center"/>
    </xf>
    <xf numFmtId="0" fontId="2" fillId="0" borderId="8" xfId="0" applyFont="1" applyBorder="1" applyAlignment="1">
      <alignment horizontal="center" vertical="center"/>
    </xf>
    <xf numFmtId="0" fontId="2" fillId="0" borderId="0" xfId="0" applyFont="1" applyBorder="1" applyAlignment="1">
      <alignment horizontal="center" vertical="center"/>
    </xf>
    <xf numFmtId="0" fontId="2" fillId="0" borderId="15" xfId="0" applyFont="1" applyBorder="1" applyAlignment="1">
      <alignment horizontal="center" vertical="center"/>
    </xf>
    <xf numFmtId="0" fontId="2" fillId="0" borderId="57" xfId="0" applyFont="1" applyBorder="1" applyAlignment="1">
      <alignment horizontal="center" vertical="center"/>
    </xf>
    <xf numFmtId="0" fontId="2" fillId="0" borderId="56" xfId="0" applyFont="1" applyBorder="1" applyAlignment="1">
      <alignment horizontal="center" vertical="center"/>
    </xf>
    <xf numFmtId="0" fontId="2" fillId="0" borderId="21" xfId="0" applyFont="1" applyBorder="1" applyAlignment="1">
      <alignment horizontal="center" vertical="center"/>
    </xf>
    <xf numFmtId="0" fontId="2" fillId="0" borderId="17" xfId="0" applyFont="1" applyBorder="1" applyAlignment="1">
      <alignment horizontal="center" vertical="center"/>
    </xf>
    <xf numFmtId="0" fontId="2" fillId="0" borderId="55" xfId="0" applyFont="1" applyBorder="1" applyAlignment="1">
      <alignment horizontal="center" vertical="center"/>
    </xf>
    <xf numFmtId="0" fontId="2" fillId="0" borderId="54" xfId="0" applyFont="1" applyBorder="1" applyAlignment="1">
      <alignment horizontal="center" vertical="center"/>
    </xf>
    <xf numFmtId="0" fontId="2" fillId="0" borderId="9" xfId="0" applyFont="1" applyBorder="1" applyAlignment="1">
      <alignment horizontal="center" vertical="center"/>
    </xf>
    <xf numFmtId="0" fontId="2" fillId="0" borderId="40" xfId="0" applyFont="1" applyBorder="1" applyAlignment="1">
      <alignment horizontal="center" vertical="center"/>
    </xf>
    <xf numFmtId="0" fontId="13" fillId="0" borderId="49" xfId="0" applyFont="1" applyBorder="1" applyAlignment="1">
      <alignment horizontal="center" vertical="center"/>
    </xf>
    <xf numFmtId="0" fontId="13" fillId="0" borderId="14" xfId="0" applyFont="1" applyBorder="1" applyAlignment="1">
      <alignment horizontal="center" vertical="center"/>
    </xf>
    <xf numFmtId="0" fontId="13" fillId="0" borderId="52" xfId="0" applyFont="1" applyBorder="1" applyAlignment="1">
      <alignment horizontal="center" vertical="center"/>
    </xf>
    <xf numFmtId="0" fontId="9" fillId="0" borderId="8" xfId="0" applyFont="1" applyBorder="1" applyAlignment="1">
      <alignment horizontal="center" vertical="center"/>
    </xf>
    <xf numFmtId="0" fontId="9" fillId="0" borderId="17" xfId="0" applyFont="1" applyBorder="1" applyAlignment="1">
      <alignment horizontal="center" vertical="center"/>
    </xf>
    <xf numFmtId="0" fontId="9" fillId="0" borderId="16" xfId="0" applyFont="1" applyBorder="1" applyAlignment="1">
      <alignment horizontal="center" vertical="center"/>
    </xf>
    <xf numFmtId="0" fontId="9" fillId="0" borderId="53" xfId="0" applyFont="1" applyBorder="1" applyAlignment="1">
      <alignment horizontal="center" vertical="center"/>
    </xf>
    <xf numFmtId="0" fontId="2" fillId="6" borderId="49" xfId="0" applyFont="1" applyFill="1" applyBorder="1" applyAlignment="1">
      <alignment horizontal="center" vertical="center" wrapText="1"/>
    </xf>
    <xf numFmtId="0" fontId="2" fillId="6" borderId="14" xfId="0" applyFont="1" applyFill="1" applyBorder="1" applyAlignment="1">
      <alignment horizontal="center" vertical="center" wrapText="1"/>
    </xf>
    <xf numFmtId="0" fontId="2" fillId="6" borderId="52" xfId="0" applyFont="1" applyFill="1" applyBorder="1" applyAlignment="1">
      <alignment horizontal="center" vertical="center" wrapText="1"/>
    </xf>
    <xf numFmtId="0" fontId="13" fillId="0" borderId="4" xfId="0" applyFont="1" applyBorder="1" applyAlignment="1">
      <alignment horizontal="center" vertical="center"/>
    </xf>
    <xf numFmtId="0" fontId="13" fillId="0" borderId="2" xfId="0" applyFont="1" applyBorder="1" applyAlignment="1">
      <alignment horizontal="center" vertical="center"/>
    </xf>
    <xf numFmtId="0" fontId="13" fillId="0" borderId="0" xfId="0" applyFont="1" applyBorder="1" applyAlignment="1">
      <alignment horizontal="center" vertical="center"/>
    </xf>
    <xf numFmtId="0" fontId="13" fillId="0" borderId="19" xfId="0" applyFont="1" applyBorder="1" applyAlignment="1">
      <alignment horizontal="center" vertical="center"/>
    </xf>
    <xf numFmtId="0" fontId="13" fillId="0" borderId="10" xfId="0" applyFont="1" applyBorder="1" applyAlignment="1">
      <alignment horizontal="center" vertical="center"/>
    </xf>
    <xf numFmtId="0" fontId="13" fillId="0" borderId="11" xfId="0" applyFont="1" applyBorder="1" applyAlignment="1">
      <alignment horizontal="center" vertical="center"/>
    </xf>
    <xf numFmtId="0" fontId="13" fillId="0" borderId="12" xfId="0" applyFont="1" applyBorder="1" applyAlignment="1">
      <alignment horizontal="center" vertical="center"/>
    </xf>
    <xf numFmtId="0" fontId="2" fillId="10" borderId="49" xfId="0" applyFont="1" applyFill="1" applyBorder="1" applyAlignment="1">
      <alignment horizontal="center" vertical="center" wrapText="1"/>
    </xf>
    <xf numFmtId="0" fontId="2" fillId="10" borderId="14" xfId="0" applyFont="1" applyFill="1" applyBorder="1" applyAlignment="1">
      <alignment horizontal="center" vertical="center" wrapText="1"/>
    </xf>
    <xf numFmtId="0" fontId="2" fillId="0" borderId="14" xfId="0" applyFont="1" applyFill="1" applyBorder="1" applyAlignment="1">
      <alignment horizontal="center" vertical="center" wrapText="1"/>
    </xf>
    <xf numFmtId="0" fontId="2" fillId="0" borderId="52" xfId="0" applyFont="1" applyFill="1" applyBorder="1" applyAlignment="1">
      <alignment horizontal="center" vertical="center" wrapText="1"/>
    </xf>
    <xf numFmtId="0" fontId="2" fillId="6" borderId="27" xfId="0" applyFont="1" applyFill="1" applyBorder="1" applyAlignment="1">
      <alignment horizontal="center" vertical="center" wrapText="1"/>
    </xf>
    <xf numFmtId="0" fontId="2" fillId="6" borderId="25" xfId="0" applyFont="1" applyFill="1" applyBorder="1" applyAlignment="1">
      <alignment horizontal="center" vertical="center" wrapText="1"/>
    </xf>
    <xf numFmtId="0" fontId="9" fillId="17" borderId="60" xfId="0" applyFont="1" applyFill="1" applyBorder="1" applyAlignment="1">
      <alignment horizontal="center" vertical="center"/>
    </xf>
    <xf numFmtId="0" fontId="9" fillId="17" borderId="26" xfId="0" applyFont="1" applyFill="1" applyBorder="1" applyAlignment="1">
      <alignment horizontal="center" vertical="center"/>
    </xf>
    <xf numFmtId="0" fontId="9" fillId="17" borderId="18" xfId="0" applyFont="1" applyFill="1" applyBorder="1" applyAlignment="1">
      <alignment horizontal="center" vertical="center"/>
    </xf>
    <xf numFmtId="0" fontId="9" fillId="8" borderId="60" xfId="0" applyFont="1" applyFill="1" applyBorder="1" applyAlignment="1">
      <alignment horizontal="center" vertical="center"/>
    </xf>
    <xf numFmtId="0" fontId="9" fillId="8" borderId="26" xfId="0" applyFont="1" applyFill="1" applyBorder="1" applyAlignment="1">
      <alignment horizontal="center" vertical="center"/>
    </xf>
    <xf numFmtId="0" fontId="9" fillId="8" borderId="18" xfId="0" applyFont="1" applyFill="1" applyBorder="1" applyAlignment="1">
      <alignment horizontal="center" vertical="center"/>
    </xf>
    <xf numFmtId="0" fontId="9" fillId="18" borderId="60" xfId="0" applyFont="1" applyFill="1" applyBorder="1" applyAlignment="1">
      <alignment horizontal="center" vertical="center"/>
    </xf>
    <xf numFmtId="0" fontId="9" fillId="18" borderId="18" xfId="0" applyFont="1" applyFill="1" applyBorder="1" applyAlignment="1">
      <alignment horizontal="center" vertical="center"/>
    </xf>
    <xf numFmtId="0" fontId="21" fillId="15" borderId="30" xfId="0" applyFont="1" applyFill="1" applyBorder="1" applyAlignment="1">
      <alignment horizontal="center" vertical="center"/>
    </xf>
    <xf numFmtId="0" fontId="21" fillId="15" borderId="46" xfId="0" applyFont="1" applyFill="1" applyBorder="1" applyAlignment="1">
      <alignment horizontal="center" vertical="center"/>
    </xf>
    <xf numFmtId="0" fontId="21" fillId="15" borderId="28" xfId="0" applyFont="1" applyFill="1" applyBorder="1" applyAlignment="1">
      <alignment horizontal="center" vertical="center"/>
    </xf>
    <xf numFmtId="0" fontId="21" fillId="15" borderId="17" xfId="0" applyFont="1" applyFill="1" applyBorder="1" applyAlignment="1">
      <alignment horizontal="center" vertical="center"/>
    </xf>
    <xf numFmtId="0" fontId="21" fillId="15" borderId="0" xfId="0" applyFont="1" applyFill="1" applyBorder="1" applyAlignment="1">
      <alignment horizontal="center" vertical="center"/>
    </xf>
    <xf numFmtId="0" fontId="21" fillId="15" borderId="15" xfId="0" applyFont="1" applyFill="1" applyBorder="1" applyAlignment="1">
      <alignment horizontal="center" vertical="center"/>
    </xf>
    <xf numFmtId="0" fontId="3" fillId="0" borderId="11" xfId="0" applyFont="1" applyFill="1" applyBorder="1" applyAlignment="1">
      <alignment horizontal="center" vertical="center"/>
    </xf>
    <xf numFmtId="0" fontId="3" fillId="0" borderId="59" xfId="0" applyFont="1" applyFill="1" applyBorder="1" applyAlignment="1">
      <alignment horizontal="center" vertical="center"/>
    </xf>
    <xf numFmtId="0" fontId="3" fillId="0" borderId="4" xfId="0" applyFont="1" applyBorder="1" applyAlignment="1">
      <alignment horizontal="center" vertical="center"/>
    </xf>
    <xf numFmtId="0" fontId="3" fillId="0" borderId="8" xfId="0" applyFont="1" applyBorder="1" applyAlignment="1">
      <alignment horizontal="center" vertical="center"/>
    </xf>
    <xf numFmtId="0" fontId="3" fillId="0" borderId="10" xfId="0" applyFont="1" applyBorder="1" applyAlignment="1">
      <alignment horizontal="center" vertical="center"/>
    </xf>
    <xf numFmtId="0" fontId="2" fillId="0" borderId="34" xfId="0" applyFont="1" applyBorder="1" applyAlignment="1">
      <alignment horizontal="center" vertical="center"/>
    </xf>
    <xf numFmtId="0" fontId="2" fillId="0" borderId="44" xfId="0" applyFont="1" applyBorder="1" applyAlignment="1">
      <alignment horizontal="center" vertical="center"/>
    </xf>
    <xf numFmtId="0" fontId="2" fillId="0" borderId="35" xfId="0" applyFont="1" applyBorder="1" applyAlignment="1">
      <alignment horizontal="center" vertical="center"/>
    </xf>
    <xf numFmtId="0" fontId="15" fillId="12" borderId="72" xfId="0" applyFont="1" applyFill="1" applyBorder="1" applyAlignment="1">
      <alignment horizontal="center" vertical="center" wrapText="1"/>
    </xf>
    <xf numFmtId="0" fontId="15" fillId="12" borderId="36" xfId="0" applyFont="1" applyFill="1" applyBorder="1" applyAlignment="1">
      <alignment horizontal="center" vertical="center" wrapText="1"/>
    </xf>
    <xf numFmtId="0" fontId="15" fillId="12" borderId="71" xfId="0" applyFont="1" applyFill="1" applyBorder="1" applyAlignment="1">
      <alignment horizontal="center" vertical="center" wrapText="1"/>
    </xf>
    <xf numFmtId="0" fontId="15" fillId="12" borderId="55" xfId="0" applyFont="1" applyFill="1" applyBorder="1" applyAlignment="1">
      <alignment horizontal="center" vertical="center" wrapText="1"/>
    </xf>
    <xf numFmtId="0" fontId="15" fillId="12" borderId="56" xfId="0" applyFont="1" applyFill="1" applyBorder="1" applyAlignment="1">
      <alignment horizontal="center" vertical="center" wrapText="1"/>
    </xf>
    <xf numFmtId="0" fontId="15" fillId="12" borderId="21" xfId="0" applyFont="1" applyFill="1" applyBorder="1" applyAlignment="1">
      <alignment horizontal="center" vertical="center" wrapText="1"/>
    </xf>
    <xf numFmtId="0" fontId="15" fillId="10" borderId="72" xfId="0" applyFont="1" applyFill="1" applyBorder="1" applyAlignment="1">
      <alignment horizontal="center" vertical="center" wrapText="1"/>
    </xf>
    <xf numFmtId="0" fontId="15" fillId="10" borderId="36" xfId="0" applyFont="1" applyFill="1" applyBorder="1" applyAlignment="1">
      <alignment horizontal="center" vertical="center" wrapText="1"/>
    </xf>
    <xf numFmtId="0" fontId="15" fillId="10" borderId="71" xfId="0" applyFont="1" applyFill="1" applyBorder="1" applyAlignment="1">
      <alignment horizontal="center" vertical="center" wrapText="1"/>
    </xf>
    <xf numFmtId="0" fontId="15" fillId="10" borderId="55" xfId="0" applyFont="1" applyFill="1" applyBorder="1" applyAlignment="1">
      <alignment horizontal="center" vertical="center" wrapText="1"/>
    </xf>
    <xf numFmtId="0" fontId="15" fillId="10" borderId="56" xfId="0" applyFont="1" applyFill="1" applyBorder="1" applyAlignment="1">
      <alignment horizontal="center" vertical="center" wrapText="1"/>
    </xf>
    <xf numFmtId="0" fontId="15" fillId="10" borderId="21" xfId="0" applyFont="1" applyFill="1" applyBorder="1" applyAlignment="1">
      <alignment horizontal="center" vertical="center" wrapText="1"/>
    </xf>
    <xf numFmtId="0" fontId="2" fillId="0" borderId="26" xfId="0" applyFont="1" applyBorder="1" applyAlignment="1">
      <alignment horizontal="center" vertical="center"/>
    </xf>
    <xf numFmtId="0" fontId="15" fillId="10" borderId="73" xfId="0" applyFont="1" applyFill="1" applyBorder="1" applyAlignment="1">
      <alignment horizontal="center" vertical="center" wrapText="1"/>
    </xf>
    <xf numFmtId="0" fontId="15" fillId="10" borderId="40" xfId="0" applyFont="1" applyFill="1" applyBorder="1" applyAlignment="1">
      <alignment horizontal="center" vertical="center" wrapText="1"/>
    </xf>
    <xf numFmtId="0" fontId="15" fillId="12" borderId="73" xfId="0" applyFont="1" applyFill="1" applyBorder="1" applyAlignment="1">
      <alignment horizontal="center" vertical="center" wrapText="1"/>
    </xf>
    <xf numFmtId="0" fontId="15" fillId="12" borderId="40" xfId="0" applyFont="1" applyFill="1" applyBorder="1" applyAlignment="1">
      <alignment horizontal="center" vertical="center" wrapText="1"/>
    </xf>
    <xf numFmtId="0" fontId="1" fillId="0" borderId="1" xfId="0" applyFont="1" applyBorder="1" applyAlignment="1">
      <alignment horizontal="center" vertical="center"/>
    </xf>
    <xf numFmtId="0" fontId="2" fillId="0" borderId="41" xfId="0" applyFont="1" applyBorder="1" applyAlignment="1">
      <alignment horizontal="center" vertical="center"/>
    </xf>
    <xf numFmtId="0" fontId="2" fillId="0" borderId="42" xfId="0" applyFont="1" applyBorder="1" applyAlignment="1">
      <alignment horizontal="center" vertical="center"/>
    </xf>
    <xf numFmtId="0" fontId="2" fillId="0" borderId="43" xfId="0" applyFont="1" applyBorder="1" applyAlignment="1">
      <alignment horizontal="center" vertical="center"/>
    </xf>
    <xf numFmtId="0" fontId="2" fillId="0" borderId="61" xfId="0" applyFont="1" applyBorder="1" applyAlignment="1">
      <alignment horizontal="center" vertical="center"/>
    </xf>
    <xf numFmtId="0" fontId="2" fillId="0" borderId="62" xfId="0" applyFont="1" applyBorder="1" applyAlignment="1">
      <alignment horizontal="center" vertical="center"/>
    </xf>
    <xf numFmtId="0" fontId="2" fillId="0" borderId="32" xfId="0" applyFont="1" applyBorder="1" applyAlignment="1">
      <alignment horizontal="center" vertical="center"/>
    </xf>
    <xf numFmtId="0" fontId="3" fillId="0" borderId="63" xfId="0" applyFont="1" applyBorder="1" applyAlignment="1">
      <alignment horizontal="right" vertical="center"/>
    </xf>
    <xf numFmtId="0" fontId="3" fillId="0" borderId="3" xfId="0" applyFont="1" applyBorder="1" applyAlignment="1">
      <alignment horizontal="right" vertical="center"/>
    </xf>
    <xf numFmtId="0" fontId="3" fillId="0" borderId="64" xfId="0" applyFont="1" applyBorder="1" applyAlignment="1">
      <alignment horizontal="right" vertical="center"/>
    </xf>
    <xf numFmtId="0" fontId="4" fillId="0" borderId="47" xfId="0" applyFont="1" applyBorder="1" applyAlignment="1">
      <alignment horizontal="center" vertical="center"/>
    </xf>
    <xf numFmtId="0" fontId="4" fillId="0" borderId="20" xfId="0" applyFont="1" applyBorder="1" applyAlignment="1">
      <alignment horizontal="center" vertical="center"/>
    </xf>
    <xf numFmtId="0" fontId="4" fillId="0" borderId="50" xfId="0" applyFont="1" applyBorder="1" applyAlignment="1">
      <alignment horizontal="center" vertical="center"/>
    </xf>
    <xf numFmtId="0" fontId="4" fillId="0" borderId="48" xfId="0" applyFont="1" applyBorder="1" applyAlignment="1">
      <alignment horizontal="center" vertical="center"/>
    </xf>
    <xf numFmtId="0" fontId="4" fillId="0" borderId="39" xfId="0" applyFont="1" applyBorder="1" applyAlignment="1">
      <alignment horizontal="center" vertical="center"/>
    </xf>
    <xf numFmtId="0" fontId="4" fillId="0" borderId="51" xfId="0" applyFont="1" applyBorder="1" applyAlignment="1">
      <alignment horizontal="center" vertical="center"/>
    </xf>
    <xf numFmtId="164" fontId="2" fillId="0" borderId="8" xfId="0" applyNumberFormat="1" applyFont="1" applyBorder="1" applyAlignment="1">
      <alignment horizontal="center" vertical="center"/>
    </xf>
    <xf numFmtId="164" fontId="2" fillId="0" borderId="0" xfId="0" applyNumberFormat="1" applyFont="1" applyBorder="1" applyAlignment="1">
      <alignment horizontal="center" vertical="center"/>
    </xf>
    <xf numFmtId="14" fontId="2" fillId="0" borderId="31" xfId="0" applyNumberFormat="1" applyFont="1" applyBorder="1" applyAlignment="1">
      <alignment horizontal="center" vertical="center"/>
    </xf>
    <xf numFmtId="14" fontId="2" fillId="0" borderId="33" xfId="0" applyNumberFormat="1" applyFont="1" applyBorder="1" applyAlignment="1">
      <alignment horizontal="center" vertical="center"/>
    </xf>
    <xf numFmtId="0" fontId="2" fillId="0" borderId="37" xfId="0" applyFont="1" applyBorder="1" applyAlignment="1">
      <alignment horizontal="center" vertical="center"/>
    </xf>
    <xf numFmtId="0" fontId="2" fillId="0" borderId="66" xfId="0" applyFont="1" applyBorder="1" applyAlignment="1">
      <alignment horizontal="center" vertical="center"/>
    </xf>
    <xf numFmtId="0" fontId="2" fillId="0" borderId="67" xfId="0" applyFont="1" applyBorder="1" applyAlignment="1">
      <alignment horizontal="center" vertical="center"/>
    </xf>
    <xf numFmtId="0" fontId="2" fillId="0" borderId="58" xfId="0" applyFont="1" applyBorder="1" applyAlignment="1">
      <alignment horizontal="center" vertical="center"/>
    </xf>
    <xf numFmtId="0" fontId="2" fillId="0" borderId="36" xfId="0" applyFont="1" applyBorder="1" applyAlignment="1">
      <alignment horizontal="center" vertical="center"/>
    </xf>
    <xf numFmtId="0" fontId="9" fillId="18" borderId="30" xfId="0" applyFont="1" applyFill="1" applyBorder="1" applyAlignment="1">
      <alignment horizontal="center" vertical="center"/>
    </xf>
    <xf numFmtId="0" fontId="9" fillId="18" borderId="28" xfId="0" applyFont="1" applyFill="1" applyBorder="1" applyAlignment="1">
      <alignment horizontal="center" vertical="center"/>
    </xf>
    <xf numFmtId="0" fontId="9" fillId="18" borderId="17" xfId="0" applyFont="1" applyFill="1" applyBorder="1" applyAlignment="1">
      <alignment horizontal="center" vertical="center"/>
    </xf>
    <xf numFmtId="0" fontId="9" fillId="18" borderId="15" xfId="0" applyFont="1" applyFill="1" applyBorder="1" applyAlignment="1">
      <alignment horizontal="center" vertical="center"/>
    </xf>
    <xf numFmtId="0" fontId="9" fillId="8" borderId="30" xfId="0" applyFont="1" applyFill="1" applyBorder="1" applyAlignment="1">
      <alignment horizontal="center" vertical="center"/>
    </xf>
    <xf numFmtId="0" fontId="9" fillId="8" borderId="46" xfId="0" applyFont="1" applyFill="1" applyBorder="1" applyAlignment="1">
      <alignment horizontal="center" vertical="center"/>
    </xf>
    <xf numFmtId="0" fontId="9" fillId="8" borderId="28" xfId="0" applyFont="1" applyFill="1" applyBorder="1" applyAlignment="1">
      <alignment horizontal="center" vertical="center"/>
    </xf>
    <xf numFmtId="0" fontId="9" fillId="8" borderId="17" xfId="0" applyFont="1" applyFill="1" applyBorder="1" applyAlignment="1">
      <alignment horizontal="center" vertical="center"/>
    </xf>
    <xf numFmtId="0" fontId="9" fillId="8" borderId="0" xfId="0" applyFont="1" applyFill="1" applyBorder="1" applyAlignment="1">
      <alignment horizontal="center" vertical="center"/>
    </xf>
    <xf numFmtId="0" fontId="9" fillId="8" borderId="15" xfId="0" applyFont="1" applyFill="1" applyBorder="1" applyAlignment="1">
      <alignment horizontal="center" vertical="center"/>
    </xf>
    <xf numFmtId="0" fontId="19" fillId="17" borderId="30" xfId="0" applyFont="1" applyFill="1" applyBorder="1" applyAlignment="1">
      <alignment horizontal="center" vertical="center"/>
    </xf>
    <xf numFmtId="0" fontId="19" fillId="17" borderId="46" xfId="0" applyFont="1" applyFill="1" applyBorder="1" applyAlignment="1">
      <alignment horizontal="center" vertical="center"/>
    </xf>
    <xf numFmtId="0" fontId="19" fillId="17" borderId="28" xfId="0" applyFont="1" applyFill="1" applyBorder="1" applyAlignment="1">
      <alignment horizontal="center" vertical="center"/>
    </xf>
    <xf numFmtId="0" fontId="19" fillId="17" borderId="17" xfId="0" applyFont="1" applyFill="1" applyBorder="1" applyAlignment="1">
      <alignment horizontal="center" vertical="center"/>
    </xf>
    <xf numFmtId="0" fontId="19" fillId="17" borderId="0" xfId="0" applyFont="1" applyFill="1" applyBorder="1" applyAlignment="1">
      <alignment horizontal="center" vertical="center"/>
    </xf>
    <xf numFmtId="0" fontId="19" fillId="17" borderId="15" xfId="0" applyFont="1" applyFill="1" applyBorder="1" applyAlignment="1">
      <alignment horizontal="center" vertical="center"/>
    </xf>
    <xf numFmtId="0" fontId="9" fillId="16" borderId="30" xfId="0" applyFont="1" applyFill="1" applyBorder="1" applyAlignment="1">
      <alignment horizontal="center" vertical="center"/>
    </xf>
    <xf numFmtId="0" fontId="9" fillId="16" borderId="46" xfId="0" applyFont="1" applyFill="1" applyBorder="1" applyAlignment="1">
      <alignment horizontal="center" vertical="center"/>
    </xf>
    <xf numFmtId="0" fontId="9" fillId="16" borderId="28" xfId="0" applyFont="1" applyFill="1" applyBorder="1" applyAlignment="1">
      <alignment horizontal="center" vertical="center"/>
    </xf>
    <xf numFmtId="0" fontId="9" fillId="16" borderId="17" xfId="0" applyFont="1" applyFill="1" applyBorder="1" applyAlignment="1">
      <alignment horizontal="center" vertical="center"/>
    </xf>
    <xf numFmtId="0" fontId="9" fillId="16" borderId="0" xfId="0" applyFont="1" applyFill="1" applyBorder="1" applyAlignment="1">
      <alignment horizontal="center" vertical="center"/>
    </xf>
    <xf numFmtId="0" fontId="9" fillId="16" borderId="15" xfId="0" applyFont="1" applyFill="1" applyBorder="1" applyAlignment="1">
      <alignment horizontal="center" vertical="center"/>
    </xf>
    <xf numFmtId="0" fontId="3" fillId="15" borderId="60" xfId="0" applyFont="1" applyFill="1" applyBorder="1" applyAlignment="1">
      <alignment horizontal="center" vertical="center"/>
    </xf>
    <xf numFmtId="0" fontId="3" fillId="15" borderId="26" xfId="0" applyFont="1" applyFill="1" applyBorder="1" applyAlignment="1">
      <alignment horizontal="center" vertical="center"/>
    </xf>
    <xf numFmtId="0" fontId="3" fillId="15" borderId="18" xfId="0" applyFont="1" applyFill="1" applyBorder="1" applyAlignment="1">
      <alignment horizontal="center" vertical="center"/>
    </xf>
    <xf numFmtId="0" fontId="9" fillId="16" borderId="60" xfId="0" applyFont="1" applyFill="1" applyBorder="1" applyAlignment="1">
      <alignment horizontal="center" vertical="center"/>
    </xf>
    <xf numFmtId="0" fontId="9" fillId="16" borderId="26" xfId="0" applyFont="1" applyFill="1" applyBorder="1" applyAlignment="1">
      <alignment horizontal="center" vertical="center"/>
    </xf>
    <xf numFmtId="0" fontId="9" fillId="16" borderId="18" xfId="0" applyFont="1" applyFill="1" applyBorder="1" applyAlignment="1">
      <alignment horizontal="center" vertical="center"/>
    </xf>
    <xf numFmtId="0" fontId="2" fillId="0" borderId="22" xfId="0" applyFont="1" applyFill="1" applyBorder="1" applyAlignment="1">
      <alignment horizontal="center" vertical="center" wrapText="1"/>
    </xf>
    <xf numFmtId="0" fontId="2" fillId="0" borderId="23" xfId="0" applyFont="1" applyFill="1" applyBorder="1" applyAlignment="1">
      <alignment horizontal="center" vertical="center" wrapText="1"/>
    </xf>
    <xf numFmtId="0" fontId="2" fillId="6" borderId="68" xfId="0" applyFont="1" applyFill="1" applyBorder="1" applyAlignment="1">
      <alignment horizontal="center" vertical="center" wrapText="1"/>
    </xf>
    <xf numFmtId="0" fontId="2" fillId="6" borderId="69" xfId="0" applyFont="1" applyFill="1" applyBorder="1" applyAlignment="1">
      <alignment horizontal="center" vertical="center" wrapText="1"/>
    </xf>
    <xf numFmtId="0" fontId="2" fillId="6" borderId="22" xfId="0" applyFont="1" applyFill="1" applyBorder="1" applyAlignment="1">
      <alignment horizontal="center" vertical="center" wrapText="1"/>
    </xf>
    <xf numFmtId="0" fontId="2" fillId="6" borderId="23" xfId="0" applyFont="1" applyFill="1" applyBorder="1" applyAlignment="1">
      <alignment horizontal="center" vertical="center" wrapText="1"/>
    </xf>
    <xf numFmtId="0" fontId="2" fillId="6" borderId="24" xfId="0" applyFont="1" applyFill="1" applyBorder="1" applyAlignment="1">
      <alignment horizontal="center" vertical="center" wrapText="1"/>
    </xf>
    <xf numFmtId="0" fontId="2" fillId="0" borderId="24" xfId="0" applyFont="1" applyFill="1" applyBorder="1" applyAlignment="1">
      <alignment horizontal="center" vertical="center" wrapText="1"/>
    </xf>
    <xf numFmtId="0" fontId="2" fillId="6" borderId="70" xfId="0" applyFont="1" applyFill="1" applyBorder="1" applyAlignment="1">
      <alignment horizontal="center" vertical="center" wrapText="1"/>
    </xf>
    <xf numFmtId="0" fontId="15" fillId="10" borderId="61" xfId="0" applyFont="1" applyFill="1" applyBorder="1" applyAlignment="1">
      <alignment horizontal="center" vertical="center" wrapText="1"/>
    </xf>
    <xf numFmtId="0" fontId="15" fillId="10" borderId="57" xfId="0" applyFont="1" applyFill="1" applyBorder="1" applyAlignment="1">
      <alignment horizontal="center" vertical="center" wrapText="1"/>
    </xf>
    <xf numFmtId="0" fontId="15" fillId="14" borderId="61" xfId="0" applyFont="1" applyFill="1" applyBorder="1" applyAlignment="1">
      <alignment horizontal="center" vertical="center" wrapText="1"/>
    </xf>
    <xf numFmtId="0" fontId="15" fillId="14" borderId="36" xfId="0" applyFont="1" applyFill="1" applyBorder="1" applyAlignment="1">
      <alignment horizontal="center" vertical="center" wrapText="1"/>
    </xf>
    <xf numFmtId="0" fontId="15" fillId="14" borderId="71" xfId="0" applyFont="1" applyFill="1" applyBorder="1" applyAlignment="1">
      <alignment horizontal="center" vertical="center" wrapText="1"/>
    </xf>
    <xf numFmtId="0" fontId="15" fillId="14" borderId="57" xfId="0" applyFont="1" applyFill="1" applyBorder="1" applyAlignment="1">
      <alignment horizontal="center" vertical="center" wrapText="1"/>
    </xf>
    <xf numFmtId="0" fontId="15" fillId="14" borderId="56" xfId="0" applyFont="1" applyFill="1" applyBorder="1" applyAlignment="1">
      <alignment horizontal="center" vertical="center" wrapText="1"/>
    </xf>
    <xf numFmtId="0" fontId="15" fillId="14" borderId="21" xfId="0"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colors>
    <mruColors>
      <color rgb="FFFFFFFF"/>
      <color rgb="FF12D577"/>
      <color rgb="FF3D70AD"/>
      <color rgb="FFDDDFE0"/>
      <color rgb="FF6F767B"/>
      <color rgb="FFF97385"/>
      <color rgb="FF3CEC96"/>
      <color rgb="FF0B8A4D"/>
      <color rgb="FFB5FDD9"/>
      <color rgb="FFB6BBB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CheckBox" fmlaLink="$AS$7" lockText="1" noThreeD="1"/>
</file>

<file path=xl/ctrlProps/ctrlProp2.xml><?xml version="1.0" encoding="utf-8"?>
<formControlPr xmlns="http://schemas.microsoft.com/office/spreadsheetml/2009/9/main" objectType="CheckBox" fmlaLink="$AS$9" lockText="1" noThreeD="1"/>
</file>

<file path=xl/ctrlProps/ctrlProp3.xml><?xml version="1.0" encoding="utf-8"?>
<formControlPr xmlns="http://schemas.microsoft.com/office/spreadsheetml/2009/9/main" objectType="CheckBox" fmlaLink="$AS$10" lockText="1" noThreeD="1"/>
</file>

<file path=xl/ctrlProps/ctrlProp4.xml><?xml version="1.0" encoding="utf-8"?>
<formControlPr xmlns="http://schemas.microsoft.com/office/spreadsheetml/2009/9/main" objectType="CheckBox" fmlaLink="$AS$11" lockText="1" noThreeD="1"/>
</file>

<file path=xl/ctrlProps/ctrlProp5.xml><?xml version="1.0" encoding="utf-8"?>
<formControlPr xmlns="http://schemas.microsoft.com/office/spreadsheetml/2009/9/main" objectType="CheckBox" fmlaLink="$AS$13"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190500</xdr:colOff>
          <xdr:row>10</xdr:row>
          <xdr:rowOff>0</xdr:rowOff>
        </xdr:from>
        <xdr:to>
          <xdr:col>23</xdr:col>
          <xdr:colOff>9525</xdr:colOff>
          <xdr:row>10</xdr:row>
          <xdr:rowOff>219075</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180975</xdr:colOff>
          <xdr:row>10</xdr:row>
          <xdr:rowOff>0</xdr:rowOff>
        </xdr:from>
        <xdr:to>
          <xdr:col>27</xdr:col>
          <xdr:colOff>200025</xdr:colOff>
          <xdr:row>10</xdr:row>
          <xdr:rowOff>219075</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31</xdr:col>
          <xdr:colOff>200025</xdr:colOff>
          <xdr:row>9</xdr:row>
          <xdr:rowOff>209550</xdr:rowOff>
        </xdr:from>
        <xdr:to>
          <xdr:col>32</xdr:col>
          <xdr:colOff>200025</xdr:colOff>
          <xdr:row>10</xdr:row>
          <xdr:rowOff>209550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36</xdr:col>
          <xdr:colOff>190500</xdr:colOff>
          <xdr:row>10</xdr:row>
          <xdr:rowOff>0</xdr:rowOff>
        </xdr:from>
        <xdr:to>
          <xdr:col>38</xdr:col>
          <xdr:colOff>0</xdr:colOff>
          <xdr:row>10</xdr:row>
          <xdr:rowOff>219075</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371475</xdr:colOff>
          <xdr:row>9</xdr:row>
          <xdr:rowOff>219075</xdr:rowOff>
        </xdr:from>
        <xdr:to>
          <xdr:col>40</xdr:col>
          <xdr:colOff>228600</xdr:colOff>
          <xdr:row>10</xdr:row>
          <xdr:rowOff>209550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44</xdr:col>
          <xdr:colOff>9525</xdr:colOff>
          <xdr:row>18</xdr:row>
          <xdr:rowOff>9525</xdr:rowOff>
        </xdr:from>
        <xdr:to>
          <xdr:col>46</xdr:col>
          <xdr:colOff>0</xdr:colOff>
          <xdr:row>20</xdr:row>
          <xdr:rowOff>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1" i="0" u="none" strike="noStrike" baseline="0">
                  <a:solidFill>
                    <a:srgbClr val="000000"/>
                  </a:solidFill>
                  <a:latin typeface="Calibri"/>
                  <a:cs typeface="Calibri"/>
                </a:rPr>
                <a:t>Enregistrer (V + 0.1)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19050</xdr:colOff>
          <xdr:row>20</xdr:row>
          <xdr:rowOff>0</xdr:rowOff>
        </xdr:from>
        <xdr:to>
          <xdr:col>46</xdr:col>
          <xdr:colOff>0</xdr:colOff>
          <xdr:row>21</xdr:row>
          <xdr:rowOff>228600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000-00000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1" i="0" u="none" strike="noStrike" baseline="0">
                  <a:solidFill>
                    <a:srgbClr val="000000"/>
                  </a:solidFill>
                  <a:latin typeface="Calibri"/>
                  <a:cs typeface="Calibri"/>
                </a:rPr>
                <a:t>Enregistrer (V +1.0)</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CA57"/>
  <sheetViews>
    <sheetView tabSelected="1" zoomScaleNormal="100" workbookViewId="0">
      <selection sqref="A1:AP3"/>
    </sheetView>
  </sheetViews>
  <sheetFormatPr baseColWidth="10" defaultColWidth="9.140625" defaultRowHeight="15" x14ac:dyDescent="0.25"/>
  <cols>
    <col min="1" max="6" width="5.7109375" customWidth="1"/>
    <col min="7" max="38" width="3.140625" customWidth="1"/>
    <col min="39" max="40" width="5.7109375" customWidth="1"/>
    <col min="41" max="41" width="8.28515625" customWidth="1"/>
    <col min="42" max="42" width="3.140625" customWidth="1"/>
    <col min="43" max="43" width="9.140625" style="40"/>
    <col min="44" max="44" width="12.85546875" style="39" customWidth="1"/>
    <col min="45" max="45" width="16.5703125" style="6" customWidth="1"/>
    <col min="46" max="46" width="9.140625" customWidth="1"/>
  </cols>
  <sheetData>
    <row r="1" spans="1:79" ht="18" customHeight="1" thickBot="1" x14ac:dyDescent="0.3">
      <c r="A1" s="207" t="s">
        <v>0</v>
      </c>
      <c r="B1" s="207"/>
      <c r="C1" s="207"/>
      <c r="D1" s="207"/>
      <c r="E1" s="207"/>
      <c r="F1" s="207"/>
      <c r="G1" s="207"/>
      <c r="H1" s="207"/>
      <c r="I1" s="207"/>
      <c r="J1" s="207"/>
      <c r="K1" s="207"/>
      <c r="L1" s="207"/>
      <c r="M1" s="207"/>
      <c r="N1" s="207"/>
      <c r="O1" s="207"/>
      <c r="P1" s="207"/>
      <c r="Q1" s="207"/>
      <c r="R1" s="207"/>
      <c r="S1" s="207"/>
      <c r="T1" s="207"/>
      <c r="U1" s="207"/>
      <c r="V1" s="207"/>
      <c r="W1" s="207"/>
      <c r="X1" s="207"/>
      <c r="Y1" s="207"/>
      <c r="Z1" s="207"/>
      <c r="AA1" s="207"/>
      <c r="AB1" s="207"/>
      <c r="AC1" s="207"/>
      <c r="AD1" s="207"/>
      <c r="AE1" s="207"/>
      <c r="AF1" s="207"/>
      <c r="AG1" s="207"/>
      <c r="AH1" s="207"/>
      <c r="AI1" s="207"/>
      <c r="AJ1" s="207"/>
      <c r="AK1" s="207"/>
      <c r="AL1" s="207"/>
      <c r="AM1" s="207"/>
      <c r="AN1" s="207"/>
      <c r="AO1" s="207"/>
      <c r="AP1" s="207"/>
      <c r="AR1" s="40"/>
      <c r="AS1" s="41"/>
      <c r="AT1" s="41"/>
    </row>
    <row r="2" spans="1:79" ht="18" customHeight="1" thickBot="1" x14ac:dyDescent="0.3">
      <c r="A2" s="207"/>
      <c r="B2" s="207"/>
      <c r="C2" s="207"/>
      <c r="D2" s="207"/>
      <c r="E2" s="207"/>
      <c r="F2" s="207"/>
      <c r="G2" s="207"/>
      <c r="H2" s="207"/>
      <c r="I2" s="207"/>
      <c r="J2" s="207"/>
      <c r="K2" s="207"/>
      <c r="L2" s="207"/>
      <c r="M2" s="207"/>
      <c r="N2" s="207"/>
      <c r="O2" s="207"/>
      <c r="P2" s="207"/>
      <c r="Q2" s="207"/>
      <c r="R2" s="207"/>
      <c r="S2" s="207"/>
      <c r="T2" s="207"/>
      <c r="U2" s="207"/>
      <c r="V2" s="207"/>
      <c r="W2" s="207"/>
      <c r="X2" s="207"/>
      <c r="Y2" s="207"/>
      <c r="Z2" s="207"/>
      <c r="AA2" s="207"/>
      <c r="AB2" s="207"/>
      <c r="AC2" s="207"/>
      <c r="AD2" s="207"/>
      <c r="AE2" s="207"/>
      <c r="AF2" s="207"/>
      <c r="AG2" s="207"/>
      <c r="AH2" s="207"/>
      <c r="AI2" s="207"/>
      <c r="AJ2" s="207"/>
      <c r="AK2" s="207"/>
      <c r="AL2" s="207"/>
      <c r="AM2" s="207"/>
      <c r="AN2" s="207"/>
      <c r="AO2" s="207"/>
      <c r="AP2" s="207"/>
      <c r="AR2" s="40"/>
      <c r="AS2" s="41"/>
      <c r="AT2" s="41"/>
    </row>
    <row r="3" spans="1:79" ht="18" customHeight="1" thickBot="1" x14ac:dyDescent="0.3">
      <c r="A3" s="207"/>
      <c r="B3" s="207"/>
      <c r="C3" s="207"/>
      <c r="D3" s="207"/>
      <c r="E3" s="207"/>
      <c r="F3" s="207"/>
      <c r="G3" s="207"/>
      <c r="H3" s="207"/>
      <c r="I3" s="207"/>
      <c r="J3" s="207"/>
      <c r="K3" s="207"/>
      <c r="L3" s="207"/>
      <c r="M3" s="207"/>
      <c r="N3" s="207"/>
      <c r="O3" s="207"/>
      <c r="P3" s="207"/>
      <c r="Q3" s="207"/>
      <c r="R3" s="207"/>
      <c r="S3" s="207"/>
      <c r="T3" s="207"/>
      <c r="U3" s="207"/>
      <c r="V3" s="207"/>
      <c r="W3" s="207"/>
      <c r="X3" s="207"/>
      <c r="Y3" s="207"/>
      <c r="Z3" s="207"/>
      <c r="AA3" s="207"/>
      <c r="AB3" s="207"/>
      <c r="AC3" s="207"/>
      <c r="AD3" s="207"/>
      <c r="AE3" s="207"/>
      <c r="AF3" s="207"/>
      <c r="AG3" s="207"/>
      <c r="AH3" s="207"/>
      <c r="AI3" s="207"/>
      <c r="AJ3" s="207"/>
      <c r="AK3" s="207"/>
      <c r="AL3" s="207"/>
      <c r="AM3" s="207"/>
      <c r="AN3" s="207"/>
      <c r="AO3" s="207"/>
      <c r="AP3" s="207"/>
      <c r="AR3" s="40"/>
      <c r="AS3" s="41"/>
      <c r="AT3" s="81"/>
      <c r="AU3" s="81"/>
      <c r="AV3" s="81"/>
      <c r="AW3" s="81"/>
    </row>
    <row r="4" spans="1:79" ht="14.65" customHeight="1" x14ac:dyDescent="0.25">
      <c r="A4" s="97" t="s">
        <v>83</v>
      </c>
      <c r="B4" s="98"/>
      <c r="C4" s="97" t="s">
        <v>1</v>
      </c>
      <c r="D4" s="98"/>
      <c r="E4" s="98"/>
      <c r="F4" s="98"/>
      <c r="G4" s="98"/>
      <c r="H4" s="99"/>
      <c r="I4" s="98" t="s">
        <v>2</v>
      </c>
      <c r="J4" s="98"/>
      <c r="K4" s="98"/>
      <c r="L4" s="98"/>
      <c r="M4" s="98"/>
      <c r="N4" s="98"/>
      <c r="O4" s="98"/>
      <c r="P4" s="98"/>
      <c r="Q4" s="98"/>
      <c r="R4" s="99"/>
      <c r="S4" s="93" t="s">
        <v>3</v>
      </c>
      <c r="T4" s="94"/>
      <c r="U4" s="94"/>
      <c r="V4" s="94"/>
      <c r="W4" s="94"/>
      <c r="X4" s="94"/>
      <c r="Y4" s="94"/>
      <c r="Z4" s="94"/>
      <c r="AA4" s="94"/>
      <c r="AB4" s="94"/>
      <c r="AC4" s="94"/>
      <c r="AD4" s="94"/>
      <c r="AE4" s="94"/>
      <c r="AF4" s="94"/>
      <c r="AG4" s="94"/>
      <c r="AH4" s="94"/>
      <c r="AI4" s="94"/>
      <c r="AJ4" s="94"/>
      <c r="AK4" s="94"/>
      <c r="AL4" s="94"/>
      <c r="AM4" s="97" t="s">
        <v>92</v>
      </c>
      <c r="AN4" s="98"/>
      <c r="AO4" s="98"/>
      <c r="AP4" s="99"/>
      <c r="AR4" s="40"/>
      <c r="AS4" s="41"/>
      <c r="AT4" s="81"/>
      <c r="AU4" s="81"/>
      <c r="AV4" s="81"/>
      <c r="AW4" s="81"/>
    </row>
    <row r="5" spans="1:79" ht="14.65" customHeight="1" thickBot="1" x14ac:dyDescent="0.3">
      <c r="A5" s="223">
        <v>0</v>
      </c>
      <c r="B5" s="224"/>
      <c r="C5" s="100"/>
      <c r="D5" s="101"/>
      <c r="E5" s="101"/>
      <c r="F5" s="101"/>
      <c r="G5" s="101"/>
      <c r="H5" s="102"/>
      <c r="I5" s="101"/>
      <c r="J5" s="101"/>
      <c r="K5" s="101"/>
      <c r="L5" s="101"/>
      <c r="M5" s="101"/>
      <c r="N5" s="101"/>
      <c r="O5" s="101"/>
      <c r="P5" s="101"/>
      <c r="Q5" s="101"/>
      <c r="R5" s="102"/>
      <c r="S5" s="95"/>
      <c r="T5" s="96"/>
      <c r="U5" s="96"/>
      <c r="V5" s="96"/>
      <c r="W5" s="96"/>
      <c r="X5" s="96"/>
      <c r="Y5" s="96"/>
      <c r="Z5" s="96"/>
      <c r="AA5" s="96"/>
      <c r="AB5" s="96"/>
      <c r="AC5" s="96"/>
      <c r="AD5" s="96"/>
      <c r="AE5" s="96"/>
      <c r="AF5" s="96"/>
      <c r="AG5" s="96"/>
      <c r="AH5" s="96"/>
      <c r="AI5" s="96"/>
      <c r="AJ5" s="96"/>
      <c r="AK5" s="96"/>
      <c r="AL5" s="96"/>
      <c r="AM5" s="100"/>
      <c r="AN5" s="101"/>
      <c r="AO5" s="101"/>
      <c r="AP5" s="102"/>
      <c r="AR5" s="40"/>
      <c r="AS5" s="41"/>
      <c r="AT5" s="81"/>
      <c r="AU5" s="81"/>
      <c r="AV5" s="81"/>
      <c r="AW5" s="81"/>
    </row>
    <row r="6" spans="1:79" ht="9.75" hidden="1" customHeight="1" thickBot="1" x14ac:dyDescent="0.3">
      <c r="A6" s="17"/>
      <c r="B6" s="18"/>
      <c r="C6" s="17"/>
      <c r="D6" s="22"/>
      <c r="E6" s="22"/>
      <c r="F6" s="22"/>
      <c r="G6" s="22"/>
      <c r="H6" s="22"/>
      <c r="I6" s="22"/>
      <c r="J6" s="22"/>
      <c r="K6" s="22"/>
      <c r="L6" s="22"/>
      <c r="M6" s="22"/>
      <c r="N6" s="22"/>
      <c r="O6" s="22"/>
      <c r="P6" s="22"/>
      <c r="Q6" s="22"/>
      <c r="R6" s="22"/>
      <c r="S6" s="17"/>
      <c r="T6" s="22"/>
      <c r="U6" s="22"/>
      <c r="V6" s="22"/>
      <c r="W6" s="22"/>
      <c r="X6" s="17"/>
      <c r="Y6" s="22"/>
      <c r="Z6" s="22"/>
      <c r="AA6" s="22"/>
      <c r="AB6" s="18"/>
      <c r="AC6" s="23"/>
      <c r="AD6" s="23"/>
      <c r="AE6" s="23"/>
      <c r="AF6" s="23"/>
      <c r="AG6" s="23"/>
      <c r="AH6" s="23"/>
      <c r="AI6" s="23"/>
      <c r="AJ6" s="23"/>
      <c r="AK6" s="23"/>
      <c r="AL6" s="23"/>
      <c r="AM6" s="59"/>
      <c r="AN6" s="59"/>
      <c r="AO6" s="59"/>
      <c r="AP6" s="59"/>
      <c r="AR6" s="40"/>
      <c r="AS6" s="41"/>
      <c r="AT6" s="81"/>
      <c r="AU6" s="81"/>
      <c r="AV6" s="81"/>
      <c r="AW6" s="81"/>
    </row>
    <row r="7" spans="1:79" ht="26.25" customHeight="1" x14ac:dyDescent="0.25">
      <c r="A7" s="97"/>
      <c r="B7" s="97"/>
      <c r="C7" s="208"/>
      <c r="D7" s="187" t="s">
        <v>4</v>
      </c>
      <c r="E7" s="188"/>
      <c r="F7" s="188"/>
      <c r="G7" s="188"/>
      <c r="H7" s="188"/>
      <c r="I7" s="227"/>
      <c r="J7" s="98"/>
      <c r="K7" s="187" t="s">
        <v>5</v>
      </c>
      <c r="L7" s="188"/>
      <c r="M7" s="188"/>
      <c r="N7" s="188"/>
      <c r="O7" s="188"/>
      <c r="P7" s="188"/>
      <c r="Q7" s="188"/>
      <c r="R7" s="189"/>
      <c r="S7" s="97"/>
      <c r="T7" s="98"/>
      <c r="U7" s="98" t="s">
        <v>6</v>
      </c>
      <c r="V7" s="98"/>
      <c r="W7" s="98"/>
      <c r="X7" s="98"/>
      <c r="Y7" s="98"/>
      <c r="Z7" s="98"/>
      <c r="AA7" s="98"/>
      <c r="AB7" s="98"/>
      <c r="AC7" s="98"/>
      <c r="AD7" s="98"/>
      <c r="AE7" s="98"/>
      <c r="AF7" s="98"/>
      <c r="AG7" s="98"/>
      <c r="AH7" s="98"/>
      <c r="AI7" s="98"/>
      <c r="AJ7" s="98"/>
      <c r="AK7" s="98"/>
      <c r="AL7" s="98"/>
      <c r="AM7" s="98"/>
      <c r="AN7" s="98"/>
      <c r="AO7" s="98"/>
      <c r="AP7" s="99"/>
      <c r="AR7" s="40"/>
      <c r="AS7" s="41" t="b">
        <v>0</v>
      </c>
      <c r="AT7" s="81"/>
      <c r="AU7" s="87"/>
      <c r="AV7" s="87"/>
      <c r="AW7" s="87"/>
      <c r="AX7" s="40"/>
      <c r="AY7" s="40"/>
      <c r="AZ7" s="40"/>
      <c r="BA7" s="40"/>
      <c r="BB7" s="40"/>
      <c r="BC7" s="40"/>
      <c r="BD7" s="40"/>
      <c r="BE7" s="40"/>
      <c r="BF7" s="40"/>
      <c r="BG7" s="40"/>
      <c r="BH7" s="40"/>
      <c r="BI7" s="40"/>
      <c r="BJ7" s="40"/>
      <c r="BK7" s="40"/>
      <c r="BL7" s="40"/>
      <c r="BM7" s="40"/>
      <c r="BN7" s="40"/>
      <c r="BO7" s="40"/>
      <c r="BP7" s="40"/>
      <c r="BQ7" s="40"/>
      <c r="BR7" s="40"/>
      <c r="BS7" s="40"/>
      <c r="BT7" s="40"/>
      <c r="BU7" s="40"/>
      <c r="BV7" s="40"/>
      <c r="BW7" s="40"/>
      <c r="BX7" s="40"/>
      <c r="BY7" s="40"/>
      <c r="BZ7" s="40"/>
      <c r="CA7" s="40"/>
    </row>
    <row r="8" spans="1:79" ht="18" hidden="1" customHeight="1" x14ac:dyDescent="0.25">
      <c r="A8" s="209"/>
      <c r="B8" s="209"/>
      <c r="C8" s="210"/>
      <c r="D8" s="35"/>
      <c r="E8" s="20"/>
      <c r="F8" s="20"/>
      <c r="G8" s="20"/>
      <c r="H8" s="20"/>
      <c r="I8" s="228"/>
      <c r="J8" s="135"/>
      <c r="K8" s="20"/>
      <c r="L8" s="20"/>
      <c r="M8" s="20"/>
      <c r="N8" s="20"/>
      <c r="O8" s="20"/>
      <c r="P8" s="20"/>
      <c r="Q8" s="20"/>
      <c r="R8" s="20"/>
      <c r="S8" s="134"/>
      <c r="T8" s="135"/>
      <c r="U8" s="21"/>
      <c r="V8" s="21"/>
      <c r="W8" s="25"/>
      <c r="X8" s="26"/>
      <c r="Y8" s="24"/>
      <c r="Z8" s="7"/>
      <c r="AA8" s="7"/>
      <c r="AB8" s="25"/>
      <c r="AC8" s="19"/>
      <c r="AD8" s="8" t="s">
        <v>7</v>
      </c>
      <c r="AE8" s="9"/>
      <c r="AF8" s="10"/>
      <c r="AG8" s="11" t="s">
        <v>14</v>
      </c>
      <c r="AH8" s="12"/>
      <c r="AI8" s="11"/>
      <c r="AJ8" s="13" t="s">
        <v>14</v>
      </c>
      <c r="AK8" s="14"/>
      <c r="AL8" s="13"/>
      <c r="AM8" s="15" t="s">
        <v>14</v>
      </c>
      <c r="AN8" s="16"/>
      <c r="AO8" s="15"/>
      <c r="AP8" s="143"/>
      <c r="AR8" s="42"/>
      <c r="AS8" s="43"/>
      <c r="AT8" s="81"/>
      <c r="AU8" s="87"/>
      <c r="AV8" s="87"/>
      <c r="AW8" s="87"/>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BX8" s="40"/>
      <c r="BY8" s="40"/>
      <c r="BZ8" s="40"/>
      <c r="CA8" s="40"/>
    </row>
    <row r="9" spans="1:79" ht="18" customHeight="1" x14ac:dyDescent="0.25">
      <c r="A9" s="213" t="s">
        <v>82</v>
      </c>
      <c r="B9" s="213"/>
      <c r="C9" s="213"/>
      <c r="D9" s="225" t="s">
        <v>113</v>
      </c>
      <c r="E9" s="226"/>
      <c r="F9" s="226"/>
      <c r="G9" s="226"/>
      <c r="H9" s="226"/>
      <c r="I9" s="228"/>
      <c r="J9" s="135"/>
      <c r="K9" s="225" t="s">
        <v>113</v>
      </c>
      <c r="L9" s="226"/>
      <c r="M9" s="226"/>
      <c r="N9" s="226"/>
      <c r="O9" s="226"/>
      <c r="P9" s="226"/>
      <c r="Q9" s="226"/>
      <c r="R9" s="226"/>
      <c r="S9" s="134"/>
      <c r="T9" s="135"/>
      <c r="U9" s="176" t="s">
        <v>7</v>
      </c>
      <c r="V9" s="177"/>
      <c r="W9" s="177"/>
      <c r="X9" s="177"/>
      <c r="Y9" s="178"/>
      <c r="Z9" s="248" t="s">
        <v>8</v>
      </c>
      <c r="AA9" s="249"/>
      <c r="AB9" s="249"/>
      <c r="AC9" s="249"/>
      <c r="AD9" s="250"/>
      <c r="AE9" s="242" t="s">
        <v>84</v>
      </c>
      <c r="AF9" s="243"/>
      <c r="AG9" s="243"/>
      <c r="AH9" s="243"/>
      <c r="AI9" s="244"/>
      <c r="AJ9" s="236" t="s">
        <v>9</v>
      </c>
      <c r="AK9" s="237"/>
      <c r="AL9" s="237"/>
      <c r="AM9" s="238"/>
      <c r="AN9" s="232" t="s">
        <v>12</v>
      </c>
      <c r="AO9" s="233"/>
      <c r="AP9" s="143"/>
      <c r="AR9" s="42"/>
      <c r="AS9" s="43" t="b">
        <v>0</v>
      </c>
      <c r="AT9" s="81"/>
      <c r="AU9" s="87"/>
      <c r="AV9" s="87"/>
      <c r="AW9" s="87"/>
      <c r="AX9" s="40"/>
      <c r="AY9" s="40"/>
      <c r="AZ9" s="40"/>
      <c r="BA9" s="40"/>
      <c r="BB9" s="40"/>
      <c r="BC9" s="40"/>
      <c r="BD9" s="40"/>
      <c r="BE9" s="40"/>
      <c r="BF9" s="40"/>
      <c r="BG9" s="40"/>
      <c r="BH9" s="40"/>
      <c r="BI9" s="40"/>
      <c r="BJ9" s="40"/>
      <c r="BK9" s="40"/>
      <c r="BL9" s="40"/>
      <c r="BM9" s="40"/>
      <c r="BN9" s="40"/>
      <c r="BO9" s="40"/>
      <c r="BP9" s="40"/>
      <c r="BQ9" s="40"/>
      <c r="BR9" s="40"/>
      <c r="BS9" s="40"/>
      <c r="BT9" s="40"/>
      <c r="BU9" s="40"/>
      <c r="BV9" s="40"/>
      <c r="BW9" s="40"/>
      <c r="BX9" s="40"/>
      <c r="BY9" s="40"/>
      <c r="BZ9" s="40"/>
      <c r="CA9" s="40"/>
    </row>
    <row r="10" spans="1:79" ht="18" customHeight="1" thickBot="1" x14ac:dyDescent="0.3">
      <c r="A10" s="211" t="s">
        <v>10</v>
      </c>
      <c r="B10" s="211"/>
      <c r="C10" s="212"/>
      <c r="D10" s="230">
        <v>0</v>
      </c>
      <c r="E10" s="231"/>
      <c r="F10" s="231"/>
      <c r="G10" s="231"/>
      <c r="H10" s="231"/>
      <c r="I10" s="229"/>
      <c r="J10" s="101"/>
      <c r="K10" s="230">
        <v>0</v>
      </c>
      <c r="L10" s="231"/>
      <c r="M10" s="231"/>
      <c r="N10" s="231"/>
      <c r="O10" s="231"/>
      <c r="P10" s="231"/>
      <c r="Q10" s="231"/>
      <c r="R10" s="231"/>
      <c r="S10" s="134"/>
      <c r="T10" s="135"/>
      <c r="U10" s="179"/>
      <c r="V10" s="180"/>
      <c r="W10" s="180"/>
      <c r="X10" s="180"/>
      <c r="Y10" s="181"/>
      <c r="Z10" s="251"/>
      <c r="AA10" s="252"/>
      <c r="AB10" s="252"/>
      <c r="AC10" s="252"/>
      <c r="AD10" s="253"/>
      <c r="AE10" s="245"/>
      <c r="AF10" s="246"/>
      <c r="AG10" s="246"/>
      <c r="AH10" s="246"/>
      <c r="AI10" s="247"/>
      <c r="AJ10" s="239"/>
      <c r="AK10" s="240"/>
      <c r="AL10" s="240"/>
      <c r="AM10" s="241"/>
      <c r="AN10" s="234"/>
      <c r="AO10" s="235"/>
      <c r="AP10" s="143"/>
      <c r="AR10" s="42"/>
      <c r="AS10" s="43" t="b">
        <v>0</v>
      </c>
      <c r="AT10" s="41"/>
      <c r="AU10" s="40"/>
      <c r="AV10" s="40"/>
      <c r="AW10" s="40"/>
      <c r="AX10" s="40"/>
      <c r="AY10" s="40"/>
      <c r="AZ10" s="40"/>
      <c r="BA10" s="40"/>
      <c r="BB10" s="40"/>
      <c r="BC10" s="40"/>
      <c r="BD10" s="40"/>
      <c r="BE10" s="40"/>
      <c r="BF10" s="40"/>
      <c r="BG10" s="40"/>
      <c r="BH10" s="40"/>
      <c r="BI10" s="40"/>
      <c r="BJ10" s="40"/>
      <c r="BK10" s="40"/>
      <c r="BL10" s="40"/>
      <c r="BM10" s="40"/>
      <c r="BN10" s="40"/>
      <c r="BO10" s="40"/>
      <c r="BP10" s="40"/>
      <c r="BQ10" s="40"/>
      <c r="BR10" s="40"/>
      <c r="BS10" s="40"/>
      <c r="BT10" s="40"/>
      <c r="BU10" s="40"/>
      <c r="BV10" s="40"/>
      <c r="BW10" s="40"/>
      <c r="BX10" s="40"/>
      <c r="BY10" s="40"/>
      <c r="BZ10" s="40"/>
      <c r="CA10" s="40"/>
    </row>
    <row r="11" spans="1:79" ht="18" customHeight="1" thickBot="1" x14ac:dyDescent="0.3">
      <c r="A11" s="214" t="s">
        <v>11</v>
      </c>
      <c r="B11" s="214"/>
      <c r="C11" s="214"/>
      <c r="D11" s="214"/>
      <c r="E11" s="214"/>
      <c r="F11" s="215"/>
      <c r="G11" s="184"/>
      <c r="H11" s="125"/>
      <c r="I11" s="125"/>
      <c r="J11" s="125"/>
      <c r="K11" s="125"/>
      <c r="L11" s="125"/>
      <c r="M11" s="125"/>
      <c r="N11" s="125"/>
      <c r="O11" s="125"/>
      <c r="P11" s="125"/>
      <c r="Q11" s="125"/>
      <c r="R11" s="126"/>
      <c r="S11" s="134"/>
      <c r="T11" s="135"/>
      <c r="U11" s="254"/>
      <c r="V11" s="255"/>
      <c r="W11" s="255"/>
      <c r="X11" s="255"/>
      <c r="Y11" s="256"/>
      <c r="Z11" s="257"/>
      <c r="AA11" s="258"/>
      <c r="AB11" s="258"/>
      <c r="AC11" s="258"/>
      <c r="AD11" s="259"/>
      <c r="AE11" s="168"/>
      <c r="AF11" s="169"/>
      <c r="AG11" s="169"/>
      <c r="AH11" s="169"/>
      <c r="AI11" s="170"/>
      <c r="AJ11" s="171"/>
      <c r="AK11" s="172"/>
      <c r="AL11" s="172"/>
      <c r="AM11" s="173"/>
      <c r="AN11" s="174"/>
      <c r="AO11" s="175"/>
      <c r="AP11" s="143"/>
      <c r="AR11" s="53"/>
      <c r="AS11" s="43" t="b">
        <v>0</v>
      </c>
      <c r="AT11" s="41"/>
      <c r="AU11" s="40"/>
      <c r="AV11" s="40"/>
      <c r="AW11" s="40"/>
      <c r="AX11" s="40"/>
      <c r="AY11" s="40"/>
      <c r="AZ11" s="40"/>
      <c r="BA11" s="40"/>
      <c r="BB11" s="40"/>
      <c r="BC11" s="40"/>
      <c r="BD11" s="40"/>
      <c r="BE11" s="40"/>
      <c r="BF11" s="40"/>
      <c r="BG11" s="40"/>
      <c r="BH11" s="40"/>
      <c r="BI11" s="40"/>
      <c r="BJ11" s="40"/>
      <c r="BK11" s="40"/>
      <c r="BL11" s="40"/>
      <c r="BM11" s="40"/>
      <c r="BN11" s="40"/>
      <c r="BO11" s="40"/>
      <c r="BP11" s="40"/>
      <c r="BQ11" s="40"/>
      <c r="BR11" s="40"/>
      <c r="BS11" s="40"/>
      <c r="BT11" s="40"/>
      <c r="BU11" s="40"/>
      <c r="BV11" s="40"/>
      <c r="BW11" s="40"/>
      <c r="BX11" s="40"/>
      <c r="BY11" s="40"/>
      <c r="BZ11" s="40"/>
      <c r="CA11" s="40"/>
    </row>
    <row r="12" spans="1:79" ht="18" hidden="1" customHeight="1" x14ac:dyDescent="0.25">
      <c r="A12" s="123"/>
      <c r="B12" s="123"/>
      <c r="C12" s="123"/>
      <c r="D12" s="123"/>
      <c r="E12" s="123"/>
      <c r="F12" s="216"/>
      <c r="G12" s="185"/>
      <c r="H12" s="127"/>
      <c r="I12" s="127"/>
      <c r="J12" s="127"/>
      <c r="K12" s="127"/>
      <c r="L12" s="127"/>
      <c r="M12" s="127"/>
      <c r="N12" s="127"/>
      <c r="O12" s="127"/>
      <c r="P12" s="127"/>
      <c r="Q12" s="127"/>
      <c r="R12" s="128"/>
      <c r="S12" s="134"/>
      <c r="T12" s="135"/>
      <c r="U12" s="27"/>
      <c r="V12" s="27"/>
      <c r="W12" s="31"/>
      <c r="X12" s="31"/>
      <c r="Y12" s="31"/>
      <c r="Z12" s="31"/>
      <c r="AA12" s="31"/>
      <c r="AB12" s="31"/>
      <c r="AC12" s="28"/>
      <c r="AD12" s="32"/>
      <c r="AE12" s="33"/>
      <c r="AF12" s="34"/>
      <c r="AG12" s="29"/>
      <c r="AH12" s="30"/>
      <c r="AI12" s="30"/>
      <c r="AJ12" s="30"/>
      <c r="AK12" s="30"/>
      <c r="AL12" s="30"/>
      <c r="AM12" s="30"/>
      <c r="AN12" s="30"/>
      <c r="AO12" s="30"/>
      <c r="AP12" s="143"/>
      <c r="AR12" s="42"/>
      <c r="AS12" s="43"/>
      <c r="AT12" s="41"/>
      <c r="AU12" s="40"/>
      <c r="AV12" s="40"/>
      <c r="AW12" s="40"/>
      <c r="AX12" s="40"/>
      <c r="AY12" s="40"/>
      <c r="AZ12" s="40"/>
      <c r="BA12" s="40"/>
      <c r="BB12" s="40"/>
      <c r="BC12" s="40"/>
      <c r="BD12" s="40"/>
      <c r="BE12" s="40"/>
      <c r="BF12" s="40"/>
      <c r="BG12" s="40"/>
      <c r="BH12" s="40"/>
      <c r="BI12" s="40"/>
      <c r="BJ12" s="40"/>
      <c r="BK12" s="40"/>
      <c r="BL12" s="40"/>
      <c r="BM12" s="40"/>
      <c r="BN12" s="40"/>
      <c r="BO12" s="40"/>
      <c r="BP12" s="40"/>
      <c r="BQ12" s="40"/>
      <c r="BR12" s="40"/>
      <c r="BS12" s="40"/>
      <c r="BT12" s="40"/>
      <c r="BU12" s="40"/>
      <c r="BV12" s="40"/>
      <c r="BW12" s="40"/>
      <c r="BX12" s="40"/>
      <c r="BY12" s="40"/>
      <c r="BZ12" s="40"/>
      <c r="CA12" s="40"/>
    </row>
    <row r="13" spans="1:79" ht="18" customHeight="1" thickBot="1" x14ac:dyDescent="0.3">
      <c r="A13" s="123"/>
      <c r="B13" s="123"/>
      <c r="C13" s="123"/>
      <c r="D13" s="123"/>
      <c r="E13" s="123"/>
      <c r="F13" s="216"/>
      <c r="G13" s="186"/>
      <c r="H13" s="129"/>
      <c r="I13" s="129"/>
      <c r="J13" s="129"/>
      <c r="K13" s="129"/>
      <c r="L13" s="129"/>
      <c r="M13" s="129"/>
      <c r="N13" s="129"/>
      <c r="O13" s="129"/>
      <c r="P13" s="129"/>
      <c r="Q13" s="129"/>
      <c r="R13" s="130"/>
      <c r="S13" s="100"/>
      <c r="T13" s="101"/>
      <c r="U13" s="182"/>
      <c r="V13" s="182"/>
      <c r="W13" s="182"/>
      <c r="X13" s="182"/>
      <c r="Y13" s="182"/>
      <c r="Z13" s="182"/>
      <c r="AA13" s="182"/>
      <c r="AB13" s="182"/>
      <c r="AC13" s="182"/>
      <c r="AD13" s="182"/>
      <c r="AE13" s="182"/>
      <c r="AF13" s="182"/>
      <c r="AG13" s="182"/>
      <c r="AH13" s="182"/>
      <c r="AI13" s="182"/>
      <c r="AJ13" s="182"/>
      <c r="AK13" s="182"/>
      <c r="AL13" s="182"/>
      <c r="AM13" s="182"/>
      <c r="AN13" s="182"/>
      <c r="AO13" s="183"/>
      <c r="AP13" s="102"/>
      <c r="AR13" s="42"/>
      <c r="AS13" s="43" t="b">
        <v>0</v>
      </c>
      <c r="AT13" s="41"/>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c r="CA13" s="40"/>
    </row>
    <row r="14" spans="1:79" ht="22.7" customHeight="1" x14ac:dyDescent="0.25">
      <c r="A14" s="217" t="s">
        <v>13</v>
      </c>
      <c r="B14" s="218"/>
      <c r="C14" s="218"/>
      <c r="D14" s="218"/>
      <c r="E14" s="218"/>
      <c r="F14" s="218"/>
      <c r="G14" s="218"/>
      <c r="H14" s="218"/>
      <c r="I14" s="218"/>
      <c r="J14" s="218"/>
      <c r="K14" s="218"/>
      <c r="L14" s="218"/>
      <c r="M14" s="218"/>
      <c r="N14" s="218"/>
      <c r="O14" s="218"/>
      <c r="P14" s="218"/>
      <c r="Q14" s="218"/>
      <c r="R14" s="218"/>
      <c r="S14" s="218"/>
      <c r="T14" s="218"/>
      <c r="U14" s="218"/>
      <c r="V14" s="218"/>
      <c r="W14" s="218"/>
      <c r="X14" s="218"/>
      <c r="Y14" s="218"/>
      <c r="Z14" s="218"/>
      <c r="AA14" s="218"/>
      <c r="AB14" s="218"/>
      <c r="AC14" s="218"/>
      <c r="AD14" s="218"/>
      <c r="AE14" s="218"/>
      <c r="AF14" s="218"/>
      <c r="AG14" s="218"/>
      <c r="AH14" s="218"/>
      <c r="AI14" s="218"/>
      <c r="AJ14" s="218"/>
      <c r="AK14" s="218"/>
      <c r="AL14" s="218"/>
      <c r="AM14" s="218"/>
      <c r="AN14" s="218"/>
      <c r="AO14" s="218"/>
      <c r="AP14" s="219"/>
      <c r="AR14" s="42"/>
      <c r="AS14" s="43"/>
      <c r="AT14" s="41"/>
      <c r="AU14" s="40"/>
      <c r="AV14" s="40"/>
      <c r="AW14" s="40"/>
      <c r="AX14" s="40"/>
      <c r="AY14" s="40"/>
      <c r="AZ14" s="40"/>
      <c r="BA14" s="40"/>
      <c r="BB14" s="40"/>
      <c r="BC14" s="40"/>
      <c r="BD14" s="40"/>
      <c r="BE14" s="40"/>
      <c r="BF14" s="40"/>
      <c r="BG14" s="40"/>
      <c r="BH14" s="40"/>
      <c r="BI14" s="40"/>
      <c r="BJ14" s="40"/>
      <c r="BK14" s="40"/>
      <c r="BL14" s="40"/>
      <c r="BM14" s="40"/>
      <c r="BN14" s="40"/>
      <c r="BO14" s="40"/>
      <c r="BP14" s="40"/>
      <c r="BQ14" s="40"/>
      <c r="BR14" s="40"/>
      <c r="BS14" s="40"/>
      <c r="BT14" s="40"/>
      <c r="BU14" s="40"/>
      <c r="BV14" s="40"/>
      <c r="BW14" s="40"/>
      <c r="BX14" s="40"/>
      <c r="BY14" s="40"/>
      <c r="BZ14" s="40"/>
      <c r="CA14" s="40"/>
    </row>
    <row r="15" spans="1:79" ht="22.7" customHeight="1" thickBot="1" x14ac:dyDescent="0.3">
      <c r="A15" s="220"/>
      <c r="B15" s="221"/>
      <c r="C15" s="221"/>
      <c r="D15" s="221"/>
      <c r="E15" s="221"/>
      <c r="F15" s="221"/>
      <c r="G15" s="221"/>
      <c r="H15" s="221"/>
      <c r="I15" s="221"/>
      <c r="J15" s="221"/>
      <c r="K15" s="221"/>
      <c r="L15" s="221"/>
      <c r="M15" s="221"/>
      <c r="N15" s="221"/>
      <c r="O15" s="221"/>
      <c r="P15" s="221"/>
      <c r="Q15" s="221"/>
      <c r="R15" s="221"/>
      <c r="S15" s="221"/>
      <c r="T15" s="221"/>
      <c r="U15" s="221"/>
      <c r="V15" s="221"/>
      <c r="W15" s="221"/>
      <c r="X15" s="221"/>
      <c r="Y15" s="221"/>
      <c r="Z15" s="221"/>
      <c r="AA15" s="221"/>
      <c r="AB15" s="221"/>
      <c r="AC15" s="221"/>
      <c r="AD15" s="221"/>
      <c r="AE15" s="221"/>
      <c r="AF15" s="221"/>
      <c r="AG15" s="221"/>
      <c r="AH15" s="221"/>
      <c r="AI15" s="221"/>
      <c r="AJ15" s="221"/>
      <c r="AK15" s="221"/>
      <c r="AL15" s="221"/>
      <c r="AM15" s="221"/>
      <c r="AN15" s="221"/>
      <c r="AO15" s="221"/>
      <c r="AP15" s="222"/>
      <c r="AU15" s="40"/>
      <c r="AV15" s="40"/>
      <c r="AW15" s="40"/>
      <c r="AX15" s="40"/>
      <c r="AY15" s="40"/>
      <c r="AZ15" s="40"/>
      <c r="BA15" s="40"/>
      <c r="BB15" s="40"/>
      <c r="BC15" s="40"/>
      <c r="BD15" s="40"/>
      <c r="BE15" s="40"/>
      <c r="BF15" s="40"/>
      <c r="BG15" s="40"/>
      <c r="BH15" s="40"/>
      <c r="BI15" s="40"/>
      <c r="BJ15" s="40"/>
      <c r="BK15" s="40"/>
      <c r="BL15" s="40"/>
      <c r="BM15" s="40"/>
      <c r="BN15" s="40"/>
      <c r="BO15" s="40"/>
      <c r="BP15" s="40"/>
      <c r="BQ15" s="40"/>
      <c r="BR15" s="40"/>
      <c r="BS15" s="40"/>
      <c r="BT15" s="40"/>
      <c r="BU15" s="40"/>
      <c r="BV15" s="40"/>
      <c r="BW15" s="40"/>
      <c r="BX15" s="40"/>
      <c r="BY15" s="40"/>
      <c r="BZ15" s="40"/>
      <c r="CA15" s="40"/>
    </row>
    <row r="16" spans="1:79" x14ac:dyDescent="0.25">
      <c r="A16" s="134" t="s">
        <v>15</v>
      </c>
      <c r="B16" s="135"/>
      <c r="C16" s="136"/>
      <c r="D16" s="140" t="s">
        <v>16</v>
      </c>
      <c r="E16" s="135"/>
      <c r="F16" s="136"/>
      <c r="G16" s="48"/>
      <c r="H16" s="202" t="s">
        <v>85</v>
      </c>
      <c r="I16" s="202"/>
      <c r="J16" s="202"/>
      <c r="K16" s="202"/>
      <c r="L16" s="202"/>
      <c r="M16" s="202"/>
      <c r="N16" s="202"/>
      <c r="O16" s="202"/>
      <c r="P16" s="202"/>
      <c r="Q16" s="202"/>
      <c r="R16" s="202"/>
      <c r="S16" s="202"/>
      <c r="T16" s="202"/>
      <c r="U16" s="202"/>
      <c r="V16" s="202"/>
      <c r="W16" s="202"/>
      <c r="X16" s="202"/>
      <c r="Y16" s="202"/>
      <c r="Z16" s="202"/>
      <c r="AA16" s="202"/>
      <c r="AB16" s="202"/>
      <c r="AC16" s="202"/>
      <c r="AD16" s="202"/>
      <c r="AE16" s="202"/>
      <c r="AF16" s="202"/>
      <c r="AG16" s="202"/>
      <c r="AH16" s="202"/>
      <c r="AI16" s="202"/>
      <c r="AJ16" s="202"/>
      <c r="AK16" s="202"/>
      <c r="AL16" s="202"/>
      <c r="AM16" s="142" t="s">
        <v>17</v>
      </c>
      <c r="AN16" s="98"/>
      <c r="AO16" s="98"/>
      <c r="AP16" s="99"/>
      <c r="AR16" s="103" t="s">
        <v>89</v>
      </c>
      <c r="AS16" s="104"/>
      <c r="AT16" s="105"/>
      <c r="AU16" s="40"/>
      <c r="AV16" s="40"/>
      <c r="AW16" s="40"/>
      <c r="AX16" s="40"/>
      <c r="AY16" s="40"/>
      <c r="AZ16" s="40"/>
      <c r="BA16" s="40"/>
      <c r="BB16" s="40"/>
      <c r="BC16" s="40"/>
      <c r="BD16" s="40"/>
      <c r="BE16" s="40"/>
      <c r="BF16" s="40"/>
      <c r="BG16" s="40"/>
      <c r="BH16" s="40"/>
      <c r="BI16" s="40"/>
      <c r="BJ16" s="40"/>
      <c r="BK16" s="40"/>
      <c r="BL16" s="40"/>
      <c r="BM16" s="40"/>
      <c r="BN16" s="40"/>
      <c r="BO16" s="40"/>
      <c r="BP16" s="40"/>
      <c r="BQ16" s="40"/>
      <c r="BR16" s="40"/>
      <c r="BS16" s="40"/>
      <c r="BT16" s="40"/>
      <c r="BU16" s="40"/>
      <c r="BV16" s="40"/>
      <c r="BW16" s="40"/>
      <c r="BX16" s="40"/>
      <c r="BY16" s="40"/>
      <c r="BZ16" s="40"/>
      <c r="CA16" s="40"/>
    </row>
    <row r="17" spans="1:79" x14ac:dyDescent="0.25">
      <c r="A17" s="134"/>
      <c r="B17" s="135"/>
      <c r="C17" s="136"/>
      <c r="D17" s="140"/>
      <c r="E17" s="135"/>
      <c r="F17" s="135"/>
      <c r="G17" s="50" t="s">
        <v>88</v>
      </c>
      <c r="H17" s="44">
        <f>DAY(AS24)</f>
        <v>1</v>
      </c>
      <c r="I17" s="47">
        <f>DAY(AS24+1)</f>
        <v>2</v>
      </c>
      <c r="J17" s="47">
        <f>DAY(AS24+2)</f>
        <v>3</v>
      </c>
      <c r="K17" s="44">
        <f>DAY(AS24+3)</f>
        <v>4</v>
      </c>
      <c r="L17" s="47">
        <f>DAY(AS24+4)</f>
        <v>5</v>
      </c>
      <c r="M17" s="47">
        <f>DAY(AS24+5)</f>
        <v>6</v>
      </c>
      <c r="N17" s="44">
        <f>DAY(AS24+6)</f>
        <v>7</v>
      </c>
      <c r="O17" s="47">
        <f>DAY(AS24+7)</f>
        <v>8</v>
      </c>
      <c r="P17" s="47">
        <f>DAY(AS24+8)</f>
        <v>9</v>
      </c>
      <c r="Q17" s="44">
        <f>DAY(AS24+9)</f>
        <v>10</v>
      </c>
      <c r="R17" s="47">
        <f>DAY(AS24+10)</f>
        <v>11</v>
      </c>
      <c r="S17" s="47">
        <f>DAY(AS24+11)</f>
        <v>12</v>
      </c>
      <c r="T17" s="44">
        <f>DAY(AS24+12)</f>
        <v>13</v>
      </c>
      <c r="U17" s="47">
        <f>DAY(AS24+13)</f>
        <v>14</v>
      </c>
      <c r="V17" s="47">
        <f>DAY(AS24+14)</f>
        <v>15</v>
      </c>
      <c r="W17" s="44">
        <f>DAY(AS24+15)</f>
        <v>16</v>
      </c>
      <c r="X17" s="47">
        <f>DAY(AS24+16)</f>
        <v>17</v>
      </c>
      <c r="Y17" s="47">
        <f>DAY(AS24+17)</f>
        <v>18</v>
      </c>
      <c r="Z17" s="44">
        <f>DAY(AS24+18)</f>
        <v>19</v>
      </c>
      <c r="AA17" s="47">
        <f>DAY(AS24+19)</f>
        <v>20</v>
      </c>
      <c r="AB17" s="47">
        <f>DAY(AS24+20)</f>
        <v>21</v>
      </c>
      <c r="AC17" s="44">
        <f>DAY(AS24+21)</f>
        <v>22</v>
      </c>
      <c r="AD17" s="47">
        <f>DAY(AS24+22)</f>
        <v>23</v>
      </c>
      <c r="AE17" s="47">
        <f>DAY(AS24+23)</f>
        <v>24</v>
      </c>
      <c r="AF17" s="44">
        <f>DAY(AS24+24)</f>
        <v>25</v>
      </c>
      <c r="AG17" s="47">
        <f>DAY(AS24+25)</f>
        <v>26</v>
      </c>
      <c r="AH17" s="47">
        <f>DAY(AS24+26)</f>
        <v>27</v>
      </c>
      <c r="AI17" s="44">
        <f>DAY(AS24+27)</f>
        <v>28</v>
      </c>
      <c r="AJ17" s="47">
        <f>DAY(AS24+28)</f>
        <v>29</v>
      </c>
      <c r="AK17" s="47">
        <f>DAY(AS24+29)</f>
        <v>30</v>
      </c>
      <c r="AL17" s="44">
        <f>DAY(AS24+30)</f>
        <v>31</v>
      </c>
      <c r="AM17" s="140"/>
      <c r="AN17" s="135"/>
      <c r="AO17" s="135"/>
      <c r="AP17" s="143"/>
      <c r="AR17" s="106"/>
      <c r="AS17" s="107"/>
      <c r="AT17" s="108"/>
      <c r="AU17" s="40"/>
      <c r="AV17" s="40"/>
      <c r="AW17" s="40"/>
      <c r="AX17" s="40"/>
      <c r="AY17" s="40"/>
      <c r="AZ17" s="40"/>
      <c r="BA17" s="40"/>
      <c r="BB17" s="40"/>
      <c r="BC17" s="40"/>
      <c r="BD17" s="40"/>
      <c r="BE17" s="40"/>
      <c r="BF17" s="40"/>
      <c r="BG17" s="40"/>
      <c r="BH17" s="40"/>
      <c r="BI17" s="40"/>
      <c r="BJ17" s="40"/>
      <c r="BK17" s="40"/>
      <c r="BL17" s="40"/>
      <c r="BM17" s="40"/>
      <c r="BN17" s="40"/>
      <c r="BO17" s="40"/>
      <c r="BP17" s="40"/>
      <c r="BQ17" s="40"/>
      <c r="BR17" s="40"/>
      <c r="BS17" s="40"/>
      <c r="BT17" s="40"/>
      <c r="BU17" s="40"/>
      <c r="BV17" s="40"/>
      <c r="BW17" s="40"/>
      <c r="BX17" s="40"/>
      <c r="BY17" s="40"/>
      <c r="BZ17" s="40"/>
      <c r="CA17" s="40"/>
    </row>
    <row r="18" spans="1:79" x14ac:dyDescent="0.25">
      <c r="A18" s="137"/>
      <c r="B18" s="138"/>
      <c r="C18" s="139"/>
      <c r="D18" s="141"/>
      <c r="E18" s="138"/>
      <c r="F18" s="138"/>
      <c r="G18" s="51" t="s">
        <v>86</v>
      </c>
      <c r="H18" s="88">
        <f>AS24</f>
        <v>45658</v>
      </c>
      <c r="I18" s="88">
        <f>AS24+1</f>
        <v>45659</v>
      </c>
      <c r="J18" s="88">
        <f>AS24+2</f>
        <v>45660</v>
      </c>
      <c r="K18" s="88">
        <f>AS24+3</f>
        <v>45661</v>
      </c>
      <c r="L18" s="88">
        <f>AS24+4</f>
        <v>45662</v>
      </c>
      <c r="M18" s="89">
        <f>AS24+5</f>
        <v>45663</v>
      </c>
      <c r="N18" s="89">
        <f>AS24+6</f>
        <v>45664</v>
      </c>
      <c r="O18" s="89">
        <f>AS24+7</f>
        <v>45665</v>
      </c>
      <c r="P18" s="89">
        <f>AS24+8</f>
        <v>45666</v>
      </c>
      <c r="Q18" s="89">
        <f>AS24+9</f>
        <v>45667</v>
      </c>
      <c r="R18" s="89">
        <f>AS24+10</f>
        <v>45668</v>
      </c>
      <c r="S18" s="89">
        <f>AS24+11</f>
        <v>45669</v>
      </c>
      <c r="T18" s="89">
        <f>AS24+12</f>
        <v>45670</v>
      </c>
      <c r="U18" s="89">
        <f>AS24+13</f>
        <v>45671</v>
      </c>
      <c r="V18" s="89">
        <f>AS24+14</f>
        <v>45672</v>
      </c>
      <c r="W18" s="89">
        <f>AS24+15</f>
        <v>45673</v>
      </c>
      <c r="X18" s="89">
        <f>AS24+16</f>
        <v>45674</v>
      </c>
      <c r="Y18" s="89">
        <f>AS24+17</f>
        <v>45675</v>
      </c>
      <c r="Z18" s="89">
        <f>AS24+18</f>
        <v>45676</v>
      </c>
      <c r="AA18" s="89">
        <f>AS24+19</f>
        <v>45677</v>
      </c>
      <c r="AB18" s="89">
        <f>AS24+20</f>
        <v>45678</v>
      </c>
      <c r="AC18" s="89">
        <f>AS24+21</f>
        <v>45679</v>
      </c>
      <c r="AD18" s="89">
        <f>AS24+22</f>
        <v>45680</v>
      </c>
      <c r="AE18" s="89">
        <f>AS24+23</f>
        <v>45681</v>
      </c>
      <c r="AF18" s="89">
        <f>AS24+24</f>
        <v>45682</v>
      </c>
      <c r="AG18" s="89">
        <f>AS24+25</f>
        <v>45683</v>
      </c>
      <c r="AH18" s="89">
        <f>AS24+26</f>
        <v>45684</v>
      </c>
      <c r="AI18" s="89">
        <f>AS24+27</f>
        <v>45685</v>
      </c>
      <c r="AJ18" s="89">
        <f>AS24+28</f>
        <v>45686</v>
      </c>
      <c r="AK18" s="89">
        <f>AS24+29</f>
        <v>45687</v>
      </c>
      <c r="AL18" s="90">
        <f>AS24+30</f>
        <v>45688</v>
      </c>
      <c r="AM18" s="141"/>
      <c r="AN18" s="138"/>
      <c r="AO18" s="138"/>
      <c r="AP18" s="144"/>
      <c r="AR18" s="109"/>
      <c r="AS18" s="110"/>
      <c r="AT18" s="111"/>
      <c r="AU18" s="40"/>
      <c r="AV18" s="40"/>
      <c r="AW18" s="40"/>
      <c r="AX18" s="40"/>
      <c r="AY18" s="40"/>
      <c r="AZ18" s="40"/>
      <c r="BA18" s="40"/>
      <c r="BB18" s="40"/>
      <c r="BC18" s="40"/>
      <c r="BD18" s="40"/>
      <c r="BE18" s="40"/>
      <c r="BF18" s="40"/>
      <c r="BG18" s="40"/>
      <c r="BH18" s="40"/>
      <c r="BI18" s="40"/>
      <c r="BJ18" s="40"/>
      <c r="BK18" s="40"/>
      <c r="BL18" s="40"/>
      <c r="BM18" s="40"/>
      <c r="BN18" s="40"/>
      <c r="BO18" s="40"/>
      <c r="BP18" s="40"/>
      <c r="BQ18" s="40"/>
      <c r="BR18" s="40"/>
      <c r="BS18" s="40"/>
      <c r="BT18" s="40"/>
      <c r="BU18" s="40"/>
      <c r="BV18" s="40"/>
      <c r="BW18" s="40"/>
      <c r="BX18" s="40"/>
      <c r="BY18" s="40"/>
      <c r="BZ18" s="40"/>
      <c r="CA18" s="40"/>
    </row>
    <row r="19" spans="1:79" s="38" customFormat="1" ht="18.95" customHeight="1" x14ac:dyDescent="0.15">
      <c r="A19" s="269"/>
      <c r="B19" s="197"/>
      <c r="C19" s="198"/>
      <c r="D19" s="196"/>
      <c r="E19" s="197"/>
      <c r="F19" s="198"/>
      <c r="G19" s="49" t="s">
        <v>86</v>
      </c>
      <c r="H19" s="64"/>
      <c r="I19" s="65"/>
      <c r="J19" s="65"/>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196"/>
      <c r="AN19" s="197"/>
      <c r="AO19" s="197"/>
      <c r="AP19" s="203"/>
      <c r="AQ19" s="52"/>
      <c r="AR19" s="112" t="s">
        <v>91</v>
      </c>
      <c r="AS19" s="115"/>
      <c r="AT19" s="116"/>
      <c r="AU19" s="52"/>
      <c r="AV19" s="52"/>
      <c r="AW19" s="52"/>
      <c r="AX19" s="52"/>
      <c r="AY19" s="52"/>
      <c r="AZ19" s="52"/>
      <c r="BA19" s="52"/>
      <c r="BB19" s="52"/>
      <c r="BC19" s="52"/>
      <c r="BD19" s="52"/>
      <c r="BE19" s="52"/>
      <c r="BF19" s="52"/>
      <c r="BG19" s="52"/>
      <c r="BH19" s="52"/>
      <c r="BI19" s="52"/>
      <c r="BJ19" s="52"/>
      <c r="BK19" s="52"/>
      <c r="BL19" s="52"/>
      <c r="BM19" s="52"/>
      <c r="BN19" s="52"/>
      <c r="BO19" s="52"/>
      <c r="BP19" s="52"/>
      <c r="BQ19" s="52"/>
      <c r="BR19" s="52"/>
      <c r="BS19" s="52"/>
      <c r="BT19" s="52"/>
      <c r="BU19" s="52"/>
      <c r="BV19" s="52"/>
      <c r="BW19" s="52"/>
      <c r="BX19" s="52"/>
      <c r="BY19" s="52"/>
      <c r="BZ19" s="52"/>
      <c r="CA19" s="52"/>
    </row>
    <row r="20" spans="1:79" s="38" customFormat="1" ht="18.95" customHeight="1" x14ac:dyDescent="0.15">
      <c r="A20" s="270"/>
      <c r="B20" s="200"/>
      <c r="C20" s="201"/>
      <c r="D20" s="199"/>
      <c r="E20" s="200"/>
      <c r="F20" s="201"/>
      <c r="G20" s="46" t="s">
        <v>87</v>
      </c>
      <c r="H20" s="67"/>
      <c r="I20" s="62"/>
      <c r="J20" s="62"/>
      <c r="K20" s="62"/>
      <c r="L20" s="62"/>
      <c r="M20" s="60"/>
      <c r="N20" s="60"/>
      <c r="O20" s="60"/>
      <c r="P20" s="60"/>
      <c r="Q20" s="60"/>
      <c r="R20" s="60"/>
      <c r="S20" s="60"/>
      <c r="T20" s="60"/>
      <c r="U20" s="60"/>
      <c r="V20" s="60"/>
      <c r="W20" s="60"/>
      <c r="X20" s="60"/>
      <c r="Y20" s="60"/>
      <c r="Z20" s="60"/>
      <c r="AA20" s="60"/>
      <c r="AB20" s="60"/>
      <c r="AC20" s="60"/>
      <c r="AD20" s="60"/>
      <c r="AE20" s="60"/>
      <c r="AF20" s="60"/>
      <c r="AG20" s="60"/>
      <c r="AH20" s="60"/>
      <c r="AI20" s="60"/>
      <c r="AJ20" s="60"/>
      <c r="AK20" s="60"/>
      <c r="AL20" s="60"/>
      <c r="AM20" s="199"/>
      <c r="AN20" s="200"/>
      <c r="AO20" s="200"/>
      <c r="AP20" s="204"/>
      <c r="AQ20" s="52"/>
      <c r="AR20" s="112"/>
      <c r="AS20" s="115"/>
      <c r="AT20" s="116"/>
      <c r="AU20" s="52"/>
      <c r="AV20" s="52"/>
      <c r="AW20" s="52"/>
      <c r="AX20" s="52"/>
      <c r="AY20" s="52"/>
      <c r="AZ20" s="52"/>
      <c r="BA20" s="52"/>
      <c r="BB20" s="52"/>
      <c r="BC20" s="52"/>
      <c r="BD20" s="52"/>
      <c r="BE20" s="52"/>
      <c r="BF20" s="52"/>
      <c r="BG20" s="52"/>
      <c r="BH20" s="52"/>
      <c r="BI20" s="52"/>
      <c r="BJ20" s="52"/>
      <c r="BK20" s="52"/>
      <c r="BL20" s="52"/>
      <c r="BM20" s="52"/>
      <c r="BN20" s="52"/>
      <c r="BO20" s="52"/>
      <c r="BP20" s="52"/>
      <c r="BQ20" s="52"/>
      <c r="BR20" s="52"/>
      <c r="BS20" s="52"/>
      <c r="BT20" s="52"/>
      <c r="BU20" s="52"/>
      <c r="BV20" s="52"/>
      <c r="BW20" s="52"/>
      <c r="BX20" s="52"/>
      <c r="BY20" s="52"/>
      <c r="BZ20" s="52"/>
      <c r="CA20" s="52"/>
    </row>
    <row r="21" spans="1:79" s="36" customFormat="1" ht="18.95" customHeight="1" x14ac:dyDescent="0.15">
      <c r="A21" s="271"/>
      <c r="B21" s="272"/>
      <c r="C21" s="273"/>
      <c r="D21" s="190"/>
      <c r="E21" s="191"/>
      <c r="F21" s="192"/>
      <c r="G21" s="54" t="s">
        <v>86</v>
      </c>
      <c r="H21" s="68"/>
      <c r="I21" s="61"/>
      <c r="J21" s="61"/>
      <c r="K21" s="61"/>
      <c r="L21" s="61"/>
      <c r="M21" s="61"/>
      <c r="N21" s="61"/>
      <c r="O21" s="61"/>
      <c r="P21" s="61"/>
      <c r="Q21" s="61"/>
      <c r="R21" s="61"/>
      <c r="S21" s="61"/>
      <c r="T21" s="61"/>
      <c r="U21" s="61"/>
      <c r="V21" s="61"/>
      <c r="W21" s="61"/>
      <c r="X21" s="61"/>
      <c r="Y21" s="61"/>
      <c r="Z21" s="61"/>
      <c r="AA21" s="61"/>
      <c r="AB21" s="61"/>
      <c r="AC21" s="61"/>
      <c r="AD21" s="61"/>
      <c r="AE21" s="61"/>
      <c r="AF21" s="61"/>
      <c r="AG21" s="61"/>
      <c r="AH21" s="61"/>
      <c r="AI21" s="61"/>
      <c r="AJ21" s="61"/>
      <c r="AK21" s="61"/>
      <c r="AL21" s="61"/>
      <c r="AM21" s="190"/>
      <c r="AN21" s="191"/>
      <c r="AO21" s="191"/>
      <c r="AP21" s="205"/>
      <c r="AQ21" s="52"/>
      <c r="AR21" s="113" t="s">
        <v>90</v>
      </c>
      <c r="AS21" s="115"/>
      <c r="AT21" s="116"/>
      <c r="AU21" s="52"/>
      <c r="AV21" s="52"/>
      <c r="AW21" s="52"/>
      <c r="AX21" s="52"/>
      <c r="AY21" s="52"/>
      <c r="AZ21" s="52"/>
      <c r="BA21" s="52"/>
      <c r="BB21" s="52"/>
      <c r="BC21" s="52"/>
      <c r="BD21" s="52"/>
      <c r="BE21" s="52"/>
      <c r="BF21" s="52"/>
      <c r="BG21" s="52"/>
      <c r="BH21" s="52"/>
      <c r="BI21" s="52"/>
      <c r="BJ21" s="52"/>
      <c r="BK21" s="52"/>
      <c r="BL21" s="52"/>
      <c r="BM21" s="52"/>
      <c r="BN21" s="52"/>
      <c r="BO21" s="52"/>
      <c r="BP21" s="52"/>
      <c r="BQ21" s="52"/>
      <c r="BR21" s="52"/>
      <c r="BS21" s="52"/>
      <c r="BT21" s="52"/>
      <c r="BU21" s="52"/>
      <c r="BV21" s="52"/>
      <c r="BW21" s="52"/>
      <c r="BX21" s="52"/>
      <c r="BY21" s="52"/>
      <c r="BZ21" s="52"/>
      <c r="CA21" s="52"/>
    </row>
    <row r="22" spans="1:79" s="36" customFormat="1" ht="18.95" customHeight="1" thickBot="1" x14ac:dyDescent="0.2">
      <c r="A22" s="274"/>
      <c r="B22" s="275"/>
      <c r="C22" s="276"/>
      <c r="D22" s="193"/>
      <c r="E22" s="194"/>
      <c r="F22" s="195"/>
      <c r="G22" s="55" t="s">
        <v>87</v>
      </c>
      <c r="H22" s="69"/>
      <c r="I22" s="60"/>
      <c r="J22" s="60"/>
      <c r="K22" s="60"/>
      <c r="L22" s="60"/>
      <c r="M22" s="60"/>
      <c r="N22" s="60"/>
      <c r="O22" s="60"/>
      <c r="P22" s="60"/>
      <c r="Q22" s="60"/>
      <c r="R22" s="60"/>
      <c r="S22" s="60"/>
      <c r="T22" s="60"/>
      <c r="U22" s="60"/>
      <c r="V22" s="60"/>
      <c r="W22" s="60"/>
      <c r="X22" s="60"/>
      <c r="Y22" s="60"/>
      <c r="Z22" s="60"/>
      <c r="AA22" s="60"/>
      <c r="AB22" s="60"/>
      <c r="AC22" s="60"/>
      <c r="AD22" s="60"/>
      <c r="AE22" s="60"/>
      <c r="AF22" s="60"/>
      <c r="AG22" s="60"/>
      <c r="AH22" s="60"/>
      <c r="AI22" s="60"/>
      <c r="AJ22" s="60"/>
      <c r="AK22" s="60"/>
      <c r="AL22" s="60"/>
      <c r="AM22" s="193"/>
      <c r="AN22" s="194"/>
      <c r="AO22" s="194"/>
      <c r="AP22" s="206"/>
      <c r="AQ22" s="52"/>
      <c r="AR22" s="114"/>
      <c r="AS22" s="117"/>
      <c r="AT22" s="118"/>
      <c r="AU22" s="52"/>
      <c r="AV22" s="52"/>
      <c r="AW22" s="52"/>
      <c r="AX22" s="52"/>
      <c r="AY22" s="52"/>
      <c r="AZ22" s="52"/>
      <c r="BA22" s="52"/>
      <c r="BB22" s="52"/>
      <c r="BC22" s="52"/>
      <c r="BD22" s="52"/>
      <c r="BE22" s="52"/>
      <c r="BF22" s="52"/>
      <c r="BG22" s="52"/>
      <c r="BH22" s="52"/>
      <c r="BI22" s="52"/>
      <c r="BJ22" s="52"/>
      <c r="BK22" s="52"/>
      <c r="BL22" s="52"/>
      <c r="BM22" s="52"/>
      <c r="BN22" s="52"/>
      <c r="BO22" s="52"/>
      <c r="BP22" s="52"/>
      <c r="BQ22" s="52"/>
      <c r="BR22" s="52"/>
      <c r="BS22" s="52"/>
      <c r="BT22" s="52"/>
      <c r="BU22" s="52"/>
      <c r="BV22" s="52"/>
      <c r="BW22" s="52"/>
      <c r="BX22" s="52"/>
      <c r="BY22" s="52"/>
      <c r="BZ22" s="52"/>
      <c r="CA22" s="52"/>
    </row>
    <row r="23" spans="1:79" s="38" customFormat="1" ht="18.95" customHeight="1" x14ac:dyDescent="0.15">
      <c r="A23" s="269"/>
      <c r="B23" s="197"/>
      <c r="C23" s="198"/>
      <c r="D23" s="196"/>
      <c r="E23" s="197"/>
      <c r="F23" s="198"/>
      <c r="G23" s="45" t="s">
        <v>86</v>
      </c>
      <c r="H23" s="68"/>
      <c r="I23" s="61"/>
      <c r="J23" s="61"/>
      <c r="K23" s="61"/>
      <c r="L23" s="61"/>
      <c r="M23" s="61"/>
      <c r="N23" s="61"/>
      <c r="O23" s="61"/>
      <c r="P23" s="61"/>
      <c r="Q23" s="61"/>
      <c r="R23" s="61"/>
      <c r="S23" s="61"/>
      <c r="T23" s="61"/>
      <c r="U23" s="61"/>
      <c r="V23" s="61"/>
      <c r="W23" s="61"/>
      <c r="X23" s="61"/>
      <c r="Y23" s="61"/>
      <c r="Z23" s="61"/>
      <c r="AA23" s="61"/>
      <c r="AB23" s="61"/>
      <c r="AC23" s="61"/>
      <c r="AD23" s="61"/>
      <c r="AE23" s="61"/>
      <c r="AF23" s="61"/>
      <c r="AG23" s="61"/>
      <c r="AH23" s="61"/>
      <c r="AI23" s="61"/>
      <c r="AJ23" s="61"/>
      <c r="AK23" s="61"/>
      <c r="AL23" s="61"/>
      <c r="AM23" s="196"/>
      <c r="AN23" s="197"/>
      <c r="AO23" s="197"/>
      <c r="AP23" s="203"/>
      <c r="AQ23" s="52"/>
      <c r="AR23" s="37"/>
      <c r="AS23" s="37"/>
      <c r="AT23" s="36"/>
      <c r="AU23" s="52"/>
      <c r="AV23" s="52"/>
      <c r="AW23" s="52"/>
      <c r="AX23" s="52"/>
      <c r="AY23" s="52"/>
      <c r="AZ23" s="52"/>
      <c r="BA23" s="52"/>
      <c r="BB23" s="52"/>
      <c r="BC23" s="52"/>
      <c r="BD23" s="52"/>
      <c r="BE23" s="52"/>
      <c r="BF23" s="52"/>
      <c r="BG23" s="52"/>
      <c r="BH23" s="52"/>
      <c r="BI23" s="52"/>
      <c r="BJ23" s="52"/>
      <c r="BK23" s="52"/>
      <c r="BL23" s="52"/>
      <c r="BM23" s="52"/>
      <c r="BN23" s="52"/>
      <c r="BO23" s="52"/>
      <c r="BP23" s="52"/>
      <c r="BQ23" s="52"/>
      <c r="BR23" s="52"/>
      <c r="BS23" s="52"/>
      <c r="BT23" s="52"/>
      <c r="BU23" s="52"/>
      <c r="BV23" s="52"/>
      <c r="BW23" s="52"/>
      <c r="BX23" s="52"/>
      <c r="BY23" s="52"/>
      <c r="BZ23" s="52"/>
      <c r="CA23" s="52"/>
    </row>
    <row r="24" spans="1:79" s="38" customFormat="1" ht="18.95" customHeight="1" x14ac:dyDescent="0.25">
      <c r="A24" s="270"/>
      <c r="B24" s="200"/>
      <c r="C24" s="201"/>
      <c r="D24" s="199"/>
      <c r="E24" s="200"/>
      <c r="F24" s="201"/>
      <c r="G24" s="46" t="s">
        <v>87</v>
      </c>
      <c r="H24" s="69"/>
      <c r="I24" s="60"/>
      <c r="J24" s="60"/>
      <c r="K24" s="60"/>
      <c r="L24" s="60"/>
      <c r="M24" s="60"/>
      <c r="N24" s="60"/>
      <c r="O24" s="60"/>
      <c r="P24" s="60"/>
      <c r="Q24" s="60"/>
      <c r="R24" s="60"/>
      <c r="S24" s="60"/>
      <c r="T24" s="60"/>
      <c r="U24" s="60"/>
      <c r="V24" s="60"/>
      <c r="W24" s="60"/>
      <c r="X24" s="60"/>
      <c r="Y24" s="60"/>
      <c r="Z24" s="60"/>
      <c r="AA24" s="60"/>
      <c r="AB24" s="60"/>
      <c r="AC24" s="60"/>
      <c r="AD24" s="60"/>
      <c r="AE24" s="60"/>
      <c r="AF24" s="60"/>
      <c r="AG24" s="60"/>
      <c r="AH24" s="60"/>
      <c r="AI24" s="60"/>
      <c r="AJ24" s="60"/>
      <c r="AK24" s="60"/>
      <c r="AL24" s="60"/>
      <c r="AM24" s="199"/>
      <c r="AN24" s="200"/>
      <c r="AO24" s="200"/>
      <c r="AP24" s="204"/>
      <c r="AQ24" s="52"/>
      <c r="AR24" s="91" t="s">
        <v>112</v>
      </c>
      <c r="AS24" s="92">
        <v>45658</v>
      </c>
      <c r="AT24" s="36"/>
      <c r="AU24" s="52"/>
      <c r="AV24" s="52"/>
      <c r="AW24" s="52"/>
      <c r="AX24" s="52"/>
      <c r="AY24" s="52"/>
      <c r="AZ24" s="52"/>
      <c r="BA24" s="52"/>
      <c r="BB24" s="52"/>
      <c r="BC24" s="52"/>
      <c r="BD24" s="52"/>
      <c r="BE24" s="52"/>
      <c r="BF24" s="52"/>
      <c r="BG24" s="52"/>
      <c r="BH24" s="52"/>
      <c r="BI24" s="52"/>
      <c r="BJ24" s="52"/>
      <c r="BK24" s="52"/>
      <c r="BL24" s="52"/>
      <c r="BM24" s="52"/>
      <c r="BN24" s="52"/>
      <c r="BO24" s="52"/>
      <c r="BP24" s="52"/>
      <c r="BQ24" s="52"/>
      <c r="BR24" s="52"/>
      <c r="BS24" s="52"/>
      <c r="BT24" s="52"/>
      <c r="BU24" s="52"/>
      <c r="BV24" s="52"/>
      <c r="BW24" s="52"/>
      <c r="BX24" s="52"/>
      <c r="BY24" s="52"/>
      <c r="BZ24" s="52"/>
      <c r="CA24" s="52"/>
    </row>
    <row r="25" spans="1:79" s="36" customFormat="1" ht="18.95" customHeight="1" x14ac:dyDescent="0.15">
      <c r="A25" s="271"/>
      <c r="B25" s="272"/>
      <c r="C25" s="273"/>
      <c r="D25" s="190"/>
      <c r="E25" s="191"/>
      <c r="F25" s="192"/>
      <c r="G25" s="54" t="s">
        <v>86</v>
      </c>
      <c r="H25" s="63"/>
      <c r="I25" s="70"/>
      <c r="J25" s="70"/>
      <c r="K25" s="70"/>
      <c r="L25" s="70"/>
      <c r="M25" s="70"/>
      <c r="N25" s="70"/>
      <c r="O25" s="70"/>
      <c r="P25" s="70"/>
      <c r="Q25" s="70"/>
      <c r="R25" s="70"/>
      <c r="S25" s="70"/>
      <c r="T25" s="70"/>
      <c r="U25" s="70"/>
      <c r="V25" s="70"/>
      <c r="W25" s="70"/>
      <c r="X25" s="70"/>
      <c r="Y25" s="70"/>
      <c r="Z25" s="70"/>
      <c r="AA25" s="70"/>
      <c r="AB25" s="70"/>
      <c r="AC25" s="70"/>
      <c r="AD25" s="70"/>
      <c r="AE25" s="70"/>
      <c r="AF25" s="70"/>
      <c r="AG25" s="70"/>
      <c r="AH25" s="70"/>
      <c r="AI25" s="70"/>
      <c r="AJ25" s="70"/>
      <c r="AK25" s="70"/>
      <c r="AL25" s="70"/>
      <c r="AM25" s="190"/>
      <c r="AN25" s="191"/>
      <c r="AO25" s="191"/>
      <c r="AP25" s="205"/>
      <c r="AQ25" s="52"/>
      <c r="AR25" s="37"/>
      <c r="AS25" s="37"/>
      <c r="AU25" s="52"/>
      <c r="AV25" s="52"/>
      <c r="AW25" s="52"/>
      <c r="AX25" s="52"/>
      <c r="AY25" s="52"/>
      <c r="AZ25" s="52"/>
      <c r="BA25" s="52"/>
      <c r="BB25" s="52"/>
      <c r="BC25" s="52"/>
      <c r="BD25" s="52"/>
      <c r="BE25" s="52"/>
      <c r="BF25" s="52"/>
      <c r="BG25" s="52"/>
      <c r="BH25" s="52"/>
      <c r="BI25" s="52"/>
      <c r="BJ25" s="52"/>
      <c r="BK25" s="52"/>
      <c r="BL25" s="52"/>
      <c r="BM25" s="52"/>
      <c r="BN25" s="52"/>
      <c r="BO25" s="52"/>
      <c r="BP25" s="52"/>
      <c r="BQ25" s="52"/>
      <c r="BR25" s="52"/>
      <c r="BS25" s="52"/>
      <c r="BT25" s="52"/>
      <c r="BU25" s="52"/>
      <c r="BV25" s="52"/>
      <c r="BW25" s="52"/>
      <c r="BX25" s="52"/>
      <c r="BY25" s="52"/>
      <c r="BZ25" s="52"/>
      <c r="CA25" s="52"/>
    </row>
    <row r="26" spans="1:79" s="36" customFormat="1" ht="18.95" customHeight="1" x14ac:dyDescent="0.15">
      <c r="A26" s="274"/>
      <c r="B26" s="275"/>
      <c r="C26" s="276"/>
      <c r="D26" s="193"/>
      <c r="E26" s="194"/>
      <c r="F26" s="195"/>
      <c r="G26" s="55" t="s">
        <v>87</v>
      </c>
      <c r="H26" s="71"/>
      <c r="I26" s="72"/>
      <c r="J26" s="72"/>
      <c r="K26" s="72"/>
      <c r="L26" s="72"/>
      <c r="M26" s="72"/>
      <c r="N26" s="72"/>
      <c r="O26" s="72"/>
      <c r="P26" s="72"/>
      <c r="Q26" s="72"/>
      <c r="R26" s="72"/>
      <c r="S26" s="72"/>
      <c r="T26" s="72"/>
      <c r="U26" s="72"/>
      <c r="V26" s="72"/>
      <c r="W26" s="72"/>
      <c r="X26" s="72"/>
      <c r="Y26" s="72"/>
      <c r="Z26" s="72"/>
      <c r="AA26" s="72"/>
      <c r="AB26" s="72"/>
      <c r="AC26" s="72"/>
      <c r="AD26" s="72"/>
      <c r="AE26" s="72"/>
      <c r="AF26" s="72"/>
      <c r="AG26" s="72"/>
      <c r="AH26" s="72"/>
      <c r="AI26" s="72"/>
      <c r="AJ26" s="72"/>
      <c r="AK26" s="72"/>
      <c r="AL26" s="72"/>
      <c r="AM26" s="193"/>
      <c r="AN26" s="194"/>
      <c r="AO26" s="194"/>
      <c r="AP26" s="206"/>
      <c r="AQ26" s="52"/>
      <c r="AR26" s="37"/>
      <c r="AS26" s="37"/>
      <c r="AU26" s="52"/>
      <c r="AV26" s="52"/>
      <c r="AW26" s="52"/>
      <c r="AX26" s="52"/>
      <c r="AY26" s="52"/>
      <c r="AZ26" s="52"/>
      <c r="BA26" s="52"/>
      <c r="BB26" s="52"/>
      <c r="BC26" s="52"/>
      <c r="BD26" s="52"/>
      <c r="BE26" s="52"/>
      <c r="BF26" s="52"/>
      <c r="BG26" s="52"/>
      <c r="BH26" s="52"/>
      <c r="BI26" s="52"/>
      <c r="BJ26" s="52"/>
      <c r="BK26" s="52"/>
      <c r="BL26" s="52"/>
      <c r="BM26" s="52"/>
      <c r="BN26" s="52"/>
      <c r="BO26" s="52"/>
      <c r="BP26" s="52"/>
      <c r="BQ26" s="52"/>
      <c r="BR26" s="52"/>
      <c r="BS26" s="52"/>
      <c r="BT26" s="52"/>
      <c r="BU26" s="52"/>
      <c r="BV26" s="52"/>
      <c r="BW26" s="52"/>
      <c r="BX26" s="52"/>
      <c r="BY26" s="52"/>
      <c r="BZ26" s="52"/>
      <c r="CA26" s="52"/>
    </row>
    <row r="27" spans="1:79" s="38" customFormat="1" ht="18.95" customHeight="1" x14ac:dyDescent="0.15">
      <c r="A27" s="269"/>
      <c r="B27" s="197"/>
      <c r="C27" s="198"/>
      <c r="D27" s="196"/>
      <c r="E27" s="197"/>
      <c r="F27" s="198"/>
      <c r="G27" s="45" t="s">
        <v>86</v>
      </c>
      <c r="H27" s="63"/>
      <c r="I27" s="70"/>
      <c r="J27" s="70"/>
      <c r="K27" s="70"/>
      <c r="L27" s="70"/>
      <c r="M27" s="70"/>
      <c r="N27" s="70"/>
      <c r="O27" s="70"/>
      <c r="P27" s="70"/>
      <c r="Q27" s="70"/>
      <c r="R27" s="70"/>
      <c r="S27" s="70"/>
      <c r="T27" s="70"/>
      <c r="U27" s="70"/>
      <c r="V27" s="70"/>
      <c r="W27" s="70"/>
      <c r="X27" s="70"/>
      <c r="Y27" s="70"/>
      <c r="Z27" s="70"/>
      <c r="AA27" s="70"/>
      <c r="AB27" s="70"/>
      <c r="AC27" s="70"/>
      <c r="AD27" s="70"/>
      <c r="AE27" s="70"/>
      <c r="AF27" s="70"/>
      <c r="AG27" s="70"/>
      <c r="AH27" s="70"/>
      <c r="AI27" s="70"/>
      <c r="AJ27" s="70"/>
      <c r="AK27" s="70"/>
      <c r="AL27" s="70"/>
      <c r="AM27" s="196"/>
      <c r="AN27" s="197"/>
      <c r="AO27" s="197"/>
      <c r="AP27" s="203"/>
      <c r="AQ27" s="52"/>
      <c r="AR27" s="37"/>
      <c r="AS27" s="37"/>
      <c r="AT27" s="36"/>
      <c r="AU27" s="52"/>
      <c r="AV27" s="52"/>
      <c r="AW27" s="52"/>
      <c r="AX27" s="52"/>
      <c r="AY27" s="52"/>
      <c r="AZ27" s="52"/>
      <c r="BA27" s="52"/>
      <c r="BB27" s="52"/>
      <c r="BC27" s="52"/>
      <c r="BD27" s="52"/>
      <c r="BE27" s="52"/>
      <c r="BF27" s="52"/>
      <c r="BG27" s="52"/>
      <c r="BH27" s="52"/>
      <c r="BI27" s="52"/>
      <c r="BJ27" s="52"/>
      <c r="BK27" s="52"/>
      <c r="BL27" s="52"/>
      <c r="BM27" s="52"/>
      <c r="BN27" s="52"/>
      <c r="BO27" s="52"/>
      <c r="BP27" s="52"/>
      <c r="BQ27" s="52"/>
      <c r="BR27" s="52"/>
      <c r="BS27" s="52"/>
      <c r="BT27" s="52"/>
      <c r="BU27" s="52"/>
      <c r="BV27" s="52"/>
      <c r="BW27" s="52"/>
      <c r="BX27" s="52"/>
      <c r="BY27" s="52"/>
      <c r="BZ27" s="52"/>
      <c r="CA27" s="52"/>
    </row>
    <row r="28" spans="1:79" s="38" customFormat="1" ht="18.95" customHeight="1" x14ac:dyDescent="0.15">
      <c r="A28" s="270"/>
      <c r="B28" s="200"/>
      <c r="C28" s="201"/>
      <c r="D28" s="199"/>
      <c r="E28" s="200"/>
      <c r="F28" s="201"/>
      <c r="G28" s="46" t="s">
        <v>87</v>
      </c>
      <c r="H28" s="73"/>
      <c r="I28" s="74"/>
      <c r="J28" s="74"/>
      <c r="K28" s="74"/>
      <c r="L28" s="74"/>
      <c r="M28" s="74"/>
      <c r="N28" s="74"/>
      <c r="O28" s="74"/>
      <c r="P28" s="74"/>
      <c r="Q28" s="74"/>
      <c r="R28" s="74"/>
      <c r="S28" s="74"/>
      <c r="T28" s="74"/>
      <c r="U28" s="74"/>
      <c r="V28" s="74"/>
      <c r="W28" s="74"/>
      <c r="X28" s="74"/>
      <c r="Y28" s="74"/>
      <c r="Z28" s="74"/>
      <c r="AA28" s="74"/>
      <c r="AB28" s="74"/>
      <c r="AC28" s="74"/>
      <c r="AD28" s="74"/>
      <c r="AE28" s="74"/>
      <c r="AF28" s="74"/>
      <c r="AG28" s="74"/>
      <c r="AH28" s="74"/>
      <c r="AI28" s="74"/>
      <c r="AJ28" s="74"/>
      <c r="AK28" s="74"/>
      <c r="AL28" s="74"/>
      <c r="AM28" s="199"/>
      <c r="AN28" s="200"/>
      <c r="AO28" s="200"/>
      <c r="AP28" s="204"/>
      <c r="AQ28" s="52"/>
      <c r="AR28" s="37"/>
      <c r="AS28" s="37"/>
      <c r="AT28" s="36"/>
      <c r="AU28" s="52"/>
      <c r="AV28" s="52"/>
      <c r="AW28" s="52"/>
      <c r="AX28" s="52"/>
      <c r="AY28" s="52"/>
      <c r="AZ28" s="52"/>
      <c r="BA28" s="52"/>
      <c r="BB28" s="52"/>
      <c r="BC28" s="52"/>
      <c r="BD28" s="52"/>
      <c r="BE28" s="52"/>
      <c r="BF28" s="52"/>
      <c r="BG28" s="52"/>
      <c r="BH28" s="52"/>
      <c r="BI28" s="52"/>
      <c r="BJ28" s="52"/>
      <c r="BK28" s="52"/>
      <c r="BL28" s="52"/>
      <c r="BM28" s="52"/>
      <c r="BN28" s="52"/>
      <c r="BO28" s="52"/>
      <c r="BP28" s="52"/>
      <c r="BQ28" s="52"/>
      <c r="BR28" s="52"/>
      <c r="BS28" s="52"/>
      <c r="BT28" s="52"/>
      <c r="BU28" s="52"/>
      <c r="BV28" s="52"/>
      <c r="BW28" s="52"/>
      <c r="BX28" s="52"/>
      <c r="BY28" s="52"/>
      <c r="BZ28" s="52"/>
      <c r="CA28" s="52"/>
    </row>
    <row r="29" spans="1:79" s="36" customFormat="1" ht="18.95" customHeight="1" x14ac:dyDescent="0.15">
      <c r="A29" s="271"/>
      <c r="B29" s="272"/>
      <c r="C29" s="273"/>
      <c r="D29" s="190"/>
      <c r="E29" s="191"/>
      <c r="F29" s="192"/>
      <c r="G29" s="54" t="s">
        <v>86</v>
      </c>
      <c r="H29" s="63"/>
      <c r="I29" s="70"/>
      <c r="J29" s="70"/>
      <c r="K29" s="70"/>
      <c r="L29" s="70"/>
      <c r="M29" s="70"/>
      <c r="N29" s="70"/>
      <c r="O29" s="70"/>
      <c r="P29" s="70"/>
      <c r="Q29" s="70"/>
      <c r="R29" s="70"/>
      <c r="S29" s="70"/>
      <c r="T29" s="70"/>
      <c r="U29" s="70"/>
      <c r="V29" s="70"/>
      <c r="W29" s="70"/>
      <c r="X29" s="70"/>
      <c r="Y29" s="70"/>
      <c r="Z29" s="70"/>
      <c r="AA29" s="70"/>
      <c r="AB29" s="70"/>
      <c r="AC29" s="70"/>
      <c r="AD29" s="70"/>
      <c r="AE29" s="70"/>
      <c r="AF29" s="70"/>
      <c r="AG29" s="70"/>
      <c r="AH29" s="70"/>
      <c r="AI29" s="70"/>
      <c r="AJ29" s="70"/>
      <c r="AK29" s="70"/>
      <c r="AL29" s="70"/>
      <c r="AM29" s="190"/>
      <c r="AN29" s="191"/>
      <c r="AO29" s="191"/>
      <c r="AP29" s="205"/>
      <c r="AQ29" s="52"/>
      <c r="AR29" s="37"/>
      <c r="AS29" s="37"/>
      <c r="AU29" s="52"/>
      <c r="AV29" s="52"/>
      <c r="AW29" s="52"/>
      <c r="AX29" s="52"/>
      <c r="AY29" s="52"/>
      <c r="AZ29" s="52"/>
      <c r="BA29" s="52"/>
      <c r="BB29" s="52"/>
      <c r="BC29" s="52"/>
      <c r="BD29" s="52"/>
      <c r="BE29" s="52"/>
      <c r="BF29" s="52"/>
      <c r="BG29" s="52"/>
      <c r="BH29" s="52"/>
      <c r="BI29" s="52"/>
      <c r="BJ29" s="52"/>
      <c r="BK29" s="52"/>
      <c r="BL29" s="52"/>
      <c r="BM29" s="52"/>
      <c r="BN29" s="52"/>
      <c r="BO29" s="52"/>
      <c r="BP29" s="52"/>
      <c r="BQ29" s="52"/>
      <c r="BR29" s="52"/>
      <c r="BS29" s="52"/>
      <c r="BT29" s="52"/>
      <c r="BU29" s="52"/>
      <c r="BV29" s="52"/>
      <c r="BW29" s="52"/>
      <c r="BX29" s="52"/>
      <c r="BY29" s="52"/>
      <c r="BZ29" s="52"/>
      <c r="CA29" s="52"/>
    </row>
    <row r="30" spans="1:79" s="36" customFormat="1" ht="18.95" customHeight="1" x14ac:dyDescent="0.15">
      <c r="A30" s="274"/>
      <c r="B30" s="275"/>
      <c r="C30" s="276"/>
      <c r="D30" s="193"/>
      <c r="E30" s="194"/>
      <c r="F30" s="195"/>
      <c r="G30" s="55" t="s">
        <v>87</v>
      </c>
      <c r="H30" s="71"/>
      <c r="I30" s="72"/>
      <c r="J30" s="72"/>
      <c r="K30" s="72"/>
      <c r="L30" s="72"/>
      <c r="M30" s="72"/>
      <c r="N30" s="72"/>
      <c r="O30" s="72"/>
      <c r="P30" s="72"/>
      <c r="Q30" s="72"/>
      <c r="R30" s="72"/>
      <c r="S30" s="72"/>
      <c r="T30" s="72"/>
      <c r="U30" s="72"/>
      <c r="V30" s="72"/>
      <c r="W30" s="72"/>
      <c r="X30" s="72"/>
      <c r="Y30" s="72"/>
      <c r="Z30" s="72"/>
      <c r="AA30" s="72"/>
      <c r="AB30" s="72"/>
      <c r="AC30" s="72"/>
      <c r="AD30" s="72"/>
      <c r="AE30" s="72"/>
      <c r="AF30" s="72"/>
      <c r="AG30" s="72"/>
      <c r="AH30" s="72"/>
      <c r="AI30" s="72"/>
      <c r="AJ30" s="72"/>
      <c r="AK30" s="72"/>
      <c r="AL30" s="72"/>
      <c r="AM30" s="193"/>
      <c r="AN30" s="194"/>
      <c r="AO30" s="194"/>
      <c r="AP30" s="206"/>
      <c r="AQ30" s="52"/>
      <c r="AR30" s="37"/>
      <c r="AS30" s="37"/>
      <c r="AU30" s="52"/>
      <c r="AV30" s="52"/>
      <c r="AW30" s="52"/>
      <c r="AX30" s="52"/>
      <c r="AY30" s="52"/>
      <c r="AZ30" s="52"/>
      <c r="BA30" s="52"/>
      <c r="BB30" s="52"/>
      <c r="BC30" s="52"/>
      <c r="BD30" s="52"/>
      <c r="BE30" s="52"/>
      <c r="BF30" s="52"/>
      <c r="BG30" s="52"/>
      <c r="BH30" s="52"/>
      <c r="BI30" s="52"/>
      <c r="BJ30" s="52"/>
      <c r="BK30" s="52"/>
      <c r="BL30" s="52"/>
      <c r="BM30" s="52"/>
      <c r="BN30" s="52"/>
      <c r="BO30" s="52"/>
      <c r="BP30" s="52"/>
      <c r="BQ30" s="52"/>
      <c r="BR30" s="52"/>
      <c r="BS30" s="52"/>
      <c r="BT30" s="52"/>
      <c r="BU30" s="52"/>
      <c r="BV30" s="52"/>
      <c r="BW30" s="52"/>
      <c r="BX30" s="52"/>
      <c r="BY30" s="52"/>
      <c r="BZ30" s="52"/>
      <c r="CA30" s="52"/>
    </row>
    <row r="31" spans="1:79" s="38" customFormat="1" ht="18.95" customHeight="1" x14ac:dyDescent="0.15">
      <c r="A31" s="269"/>
      <c r="B31" s="197"/>
      <c r="C31" s="198"/>
      <c r="D31" s="196"/>
      <c r="E31" s="197"/>
      <c r="F31" s="198"/>
      <c r="G31" s="45" t="s">
        <v>86</v>
      </c>
      <c r="H31" s="63"/>
      <c r="I31" s="70"/>
      <c r="J31" s="70"/>
      <c r="K31" s="70"/>
      <c r="L31" s="70"/>
      <c r="M31" s="70"/>
      <c r="N31" s="70"/>
      <c r="O31" s="70"/>
      <c r="P31" s="70"/>
      <c r="Q31" s="70"/>
      <c r="R31" s="70"/>
      <c r="S31" s="70"/>
      <c r="T31" s="70"/>
      <c r="U31" s="70"/>
      <c r="V31" s="70"/>
      <c r="W31" s="70"/>
      <c r="X31" s="70"/>
      <c r="Y31" s="70"/>
      <c r="Z31" s="70"/>
      <c r="AA31" s="70"/>
      <c r="AB31" s="70"/>
      <c r="AC31" s="70"/>
      <c r="AD31" s="70"/>
      <c r="AE31" s="70"/>
      <c r="AF31" s="70"/>
      <c r="AG31" s="70"/>
      <c r="AH31" s="70"/>
      <c r="AI31" s="70"/>
      <c r="AJ31" s="70"/>
      <c r="AK31" s="70"/>
      <c r="AL31" s="70"/>
      <c r="AM31" s="196"/>
      <c r="AN31" s="197"/>
      <c r="AO31" s="197"/>
      <c r="AP31" s="203"/>
      <c r="AQ31" s="52"/>
      <c r="AR31" s="37"/>
      <c r="AS31" s="37"/>
      <c r="AT31" s="36"/>
      <c r="AU31" s="52"/>
      <c r="AV31" s="52"/>
      <c r="AW31" s="52"/>
      <c r="AX31" s="52"/>
      <c r="AY31" s="52"/>
      <c r="AZ31" s="52"/>
      <c r="BA31" s="52"/>
      <c r="BB31" s="52"/>
      <c r="BC31" s="52"/>
      <c r="BD31" s="52"/>
      <c r="BE31" s="52"/>
      <c r="BF31" s="52"/>
      <c r="BG31" s="52"/>
      <c r="BH31" s="52"/>
      <c r="BI31" s="52"/>
      <c r="BJ31" s="52"/>
      <c r="BK31" s="52"/>
      <c r="BL31" s="52"/>
      <c r="BM31" s="52"/>
      <c r="BN31" s="52"/>
      <c r="BO31" s="52"/>
      <c r="BP31" s="52"/>
      <c r="BQ31" s="52"/>
      <c r="BR31" s="52"/>
      <c r="BS31" s="52"/>
      <c r="BT31" s="52"/>
      <c r="BU31" s="52"/>
      <c r="BV31" s="52"/>
      <c r="BW31" s="52"/>
      <c r="BX31" s="52"/>
      <c r="BY31" s="52"/>
      <c r="BZ31" s="52"/>
      <c r="CA31" s="52"/>
    </row>
    <row r="32" spans="1:79" s="38" customFormat="1" ht="18.95" customHeight="1" x14ac:dyDescent="0.15">
      <c r="A32" s="270"/>
      <c r="B32" s="200"/>
      <c r="C32" s="201"/>
      <c r="D32" s="199"/>
      <c r="E32" s="200"/>
      <c r="F32" s="201"/>
      <c r="G32" s="46" t="s">
        <v>87</v>
      </c>
      <c r="H32" s="73"/>
      <c r="I32" s="74"/>
      <c r="J32" s="74"/>
      <c r="K32" s="74"/>
      <c r="L32" s="74"/>
      <c r="M32" s="74"/>
      <c r="N32" s="74"/>
      <c r="O32" s="74"/>
      <c r="P32" s="74"/>
      <c r="Q32" s="74"/>
      <c r="R32" s="74"/>
      <c r="S32" s="74"/>
      <c r="T32" s="74"/>
      <c r="U32" s="74"/>
      <c r="V32" s="74"/>
      <c r="W32" s="74"/>
      <c r="X32" s="74"/>
      <c r="Y32" s="74"/>
      <c r="Z32" s="74"/>
      <c r="AA32" s="74"/>
      <c r="AB32" s="74"/>
      <c r="AC32" s="74"/>
      <c r="AD32" s="74"/>
      <c r="AE32" s="74"/>
      <c r="AF32" s="74"/>
      <c r="AG32" s="74"/>
      <c r="AH32" s="74"/>
      <c r="AI32" s="74"/>
      <c r="AJ32" s="74"/>
      <c r="AK32" s="74"/>
      <c r="AL32" s="74"/>
      <c r="AM32" s="199"/>
      <c r="AN32" s="200"/>
      <c r="AO32" s="200"/>
      <c r="AP32" s="204"/>
      <c r="AQ32" s="52"/>
      <c r="AR32" s="37"/>
      <c r="AS32" s="37"/>
      <c r="AT32" s="36"/>
      <c r="AU32" s="52"/>
      <c r="AV32" s="52"/>
      <c r="AW32" s="52"/>
      <c r="AX32" s="52"/>
      <c r="AY32" s="52"/>
      <c r="AZ32" s="52"/>
      <c r="BA32" s="52"/>
      <c r="BB32" s="52"/>
      <c r="BC32" s="52"/>
      <c r="BD32" s="52"/>
      <c r="BE32" s="52"/>
      <c r="BF32" s="52"/>
      <c r="BG32" s="52"/>
      <c r="BH32" s="52"/>
      <c r="BI32" s="52"/>
      <c r="BJ32" s="52"/>
      <c r="BK32" s="52"/>
      <c r="BL32" s="52"/>
      <c r="BM32" s="52"/>
      <c r="BN32" s="52"/>
      <c r="BO32" s="52"/>
      <c r="BP32" s="52"/>
      <c r="BQ32" s="52"/>
      <c r="BR32" s="52"/>
      <c r="BS32" s="52"/>
      <c r="BT32" s="52"/>
      <c r="BU32" s="52"/>
      <c r="BV32" s="52"/>
      <c r="BW32" s="52"/>
      <c r="BX32" s="52"/>
      <c r="BY32" s="52"/>
      <c r="BZ32" s="52"/>
      <c r="CA32" s="52"/>
    </row>
    <row r="33" spans="1:79" s="36" customFormat="1" ht="18.95" customHeight="1" x14ac:dyDescent="0.15">
      <c r="A33" s="271"/>
      <c r="B33" s="272"/>
      <c r="C33" s="273"/>
      <c r="D33" s="190"/>
      <c r="E33" s="191"/>
      <c r="F33" s="192"/>
      <c r="G33" s="54" t="s">
        <v>86</v>
      </c>
      <c r="H33" s="63"/>
      <c r="I33" s="70"/>
      <c r="J33" s="70"/>
      <c r="K33" s="70"/>
      <c r="L33" s="70"/>
      <c r="M33" s="70"/>
      <c r="N33" s="70"/>
      <c r="O33" s="70"/>
      <c r="P33" s="70"/>
      <c r="Q33" s="70"/>
      <c r="R33" s="70"/>
      <c r="S33" s="70"/>
      <c r="T33" s="70"/>
      <c r="U33" s="70"/>
      <c r="V33" s="70"/>
      <c r="W33" s="70"/>
      <c r="X33" s="70"/>
      <c r="Y33" s="70"/>
      <c r="Z33" s="70"/>
      <c r="AA33" s="70"/>
      <c r="AB33" s="70"/>
      <c r="AC33" s="70"/>
      <c r="AD33" s="70"/>
      <c r="AE33" s="70"/>
      <c r="AF33" s="70"/>
      <c r="AG33" s="70"/>
      <c r="AH33" s="70"/>
      <c r="AI33" s="70"/>
      <c r="AJ33" s="70"/>
      <c r="AK33" s="70"/>
      <c r="AL33" s="70"/>
      <c r="AM33" s="190"/>
      <c r="AN33" s="191"/>
      <c r="AO33" s="191"/>
      <c r="AP33" s="205"/>
      <c r="AQ33" s="52"/>
      <c r="AR33" s="37"/>
      <c r="AS33" s="37"/>
      <c r="AU33" s="52"/>
      <c r="AV33" s="52"/>
      <c r="AW33" s="52"/>
      <c r="AX33" s="52"/>
      <c r="AY33" s="52"/>
      <c r="AZ33" s="52"/>
      <c r="BA33" s="52"/>
      <c r="BB33" s="52"/>
      <c r="BC33" s="52"/>
      <c r="BD33" s="52"/>
      <c r="BE33" s="52"/>
      <c r="BF33" s="52"/>
      <c r="BG33" s="52"/>
      <c r="BH33" s="52"/>
      <c r="BI33" s="52"/>
      <c r="BJ33" s="52"/>
      <c r="BK33" s="52"/>
      <c r="BL33" s="52"/>
      <c r="BM33" s="52"/>
      <c r="BN33" s="52"/>
      <c r="BO33" s="52"/>
      <c r="BP33" s="52"/>
      <c r="BQ33" s="52"/>
      <c r="BR33" s="52"/>
      <c r="BS33" s="52"/>
      <c r="BT33" s="52"/>
      <c r="BU33" s="52"/>
      <c r="BV33" s="52"/>
      <c r="BW33" s="52"/>
      <c r="BX33" s="52"/>
      <c r="BY33" s="52"/>
      <c r="BZ33" s="52"/>
      <c r="CA33" s="52"/>
    </row>
    <row r="34" spans="1:79" s="36" customFormat="1" ht="18.95" customHeight="1" x14ac:dyDescent="0.15">
      <c r="A34" s="274"/>
      <c r="B34" s="275"/>
      <c r="C34" s="276"/>
      <c r="D34" s="193"/>
      <c r="E34" s="194"/>
      <c r="F34" s="195"/>
      <c r="G34" s="56" t="s">
        <v>87</v>
      </c>
      <c r="H34" s="68"/>
      <c r="I34" s="61"/>
      <c r="J34" s="61"/>
      <c r="K34" s="61"/>
      <c r="L34" s="61"/>
      <c r="M34" s="61"/>
      <c r="N34" s="61"/>
      <c r="O34" s="61"/>
      <c r="P34" s="61"/>
      <c r="Q34" s="61"/>
      <c r="R34" s="61"/>
      <c r="S34" s="61"/>
      <c r="T34" s="61"/>
      <c r="U34" s="61"/>
      <c r="V34" s="61"/>
      <c r="W34" s="61"/>
      <c r="X34" s="61"/>
      <c r="Y34" s="61"/>
      <c r="Z34" s="61"/>
      <c r="AA34" s="61"/>
      <c r="AB34" s="61"/>
      <c r="AC34" s="61"/>
      <c r="AD34" s="61"/>
      <c r="AE34" s="61"/>
      <c r="AF34" s="61"/>
      <c r="AG34" s="61"/>
      <c r="AH34" s="61"/>
      <c r="AI34" s="61"/>
      <c r="AJ34" s="61"/>
      <c r="AK34" s="61"/>
      <c r="AL34" s="61"/>
      <c r="AM34" s="193"/>
      <c r="AN34" s="194"/>
      <c r="AO34" s="194"/>
      <c r="AP34" s="206"/>
      <c r="AQ34" s="52"/>
      <c r="AR34" s="37"/>
      <c r="AS34" s="37"/>
      <c r="AU34" s="52"/>
      <c r="AV34" s="52"/>
      <c r="AW34" s="52"/>
      <c r="AX34" s="52"/>
      <c r="AY34" s="52"/>
      <c r="AZ34" s="52"/>
      <c r="BA34" s="52"/>
      <c r="BB34" s="52"/>
      <c r="BC34" s="52"/>
      <c r="BD34" s="52"/>
      <c r="BE34" s="52"/>
      <c r="BF34" s="52"/>
      <c r="BG34" s="52"/>
      <c r="BH34" s="52"/>
      <c r="BI34" s="52"/>
      <c r="BJ34" s="52"/>
      <c r="BK34" s="52"/>
      <c r="BL34" s="52"/>
      <c r="BM34" s="52"/>
      <c r="BN34" s="52"/>
      <c r="BO34" s="52"/>
      <c r="BP34" s="52"/>
      <c r="BQ34" s="52"/>
      <c r="BR34" s="52"/>
      <c r="BS34" s="52"/>
      <c r="BT34" s="52"/>
      <c r="BU34" s="52"/>
      <c r="BV34" s="52"/>
      <c r="BW34" s="52"/>
      <c r="BX34" s="52"/>
      <c r="BY34" s="52"/>
      <c r="BZ34" s="52"/>
      <c r="CA34" s="52"/>
    </row>
    <row r="35" spans="1:79" s="38" customFormat="1" ht="18.95" customHeight="1" x14ac:dyDescent="0.15">
      <c r="A35" s="269"/>
      <c r="B35" s="197"/>
      <c r="C35" s="198"/>
      <c r="D35" s="196"/>
      <c r="E35" s="197"/>
      <c r="F35" s="198"/>
      <c r="G35" s="58" t="s">
        <v>86</v>
      </c>
      <c r="H35" s="82"/>
      <c r="I35" s="75"/>
      <c r="J35" s="75"/>
      <c r="K35" s="75"/>
      <c r="L35" s="75"/>
      <c r="M35" s="75"/>
      <c r="N35" s="75"/>
      <c r="O35" s="75"/>
      <c r="P35" s="75"/>
      <c r="Q35" s="75"/>
      <c r="R35" s="75"/>
      <c r="S35" s="75"/>
      <c r="T35" s="75"/>
      <c r="U35" s="75"/>
      <c r="V35" s="75"/>
      <c r="W35" s="75"/>
      <c r="X35" s="75"/>
      <c r="Y35" s="75"/>
      <c r="Z35" s="75"/>
      <c r="AA35" s="75"/>
      <c r="AB35" s="75"/>
      <c r="AC35" s="75"/>
      <c r="AD35" s="75"/>
      <c r="AE35" s="75"/>
      <c r="AF35" s="75"/>
      <c r="AG35" s="75"/>
      <c r="AH35" s="75"/>
      <c r="AI35" s="75"/>
      <c r="AJ35" s="75"/>
      <c r="AK35" s="75"/>
      <c r="AL35" s="83"/>
      <c r="AM35" s="196"/>
      <c r="AN35" s="197"/>
      <c r="AO35" s="197"/>
      <c r="AP35" s="203"/>
      <c r="AQ35" s="52"/>
      <c r="AR35" s="37"/>
      <c r="AS35" s="37"/>
      <c r="AT35" s="36"/>
      <c r="AU35" s="52"/>
      <c r="AV35" s="52"/>
      <c r="AW35" s="52"/>
      <c r="AX35" s="52"/>
      <c r="AY35" s="52"/>
      <c r="AZ35" s="52"/>
      <c r="BA35" s="52"/>
      <c r="BB35" s="52"/>
      <c r="BC35" s="52"/>
      <c r="BD35" s="52"/>
      <c r="BE35" s="52"/>
      <c r="BF35" s="52"/>
      <c r="BG35" s="52"/>
      <c r="BH35" s="52"/>
      <c r="BI35" s="52"/>
      <c r="BJ35" s="52"/>
      <c r="BK35" s="52"/>
      <c r="BL35" s="52"/>
      <c r="BM35" s="52"/>
      <c r="BN35" s="52"/>
      <c r="BO35" s="52"/>
      <c r="BP35" s="52"/>
      <c r="BQ35" s="52"/>
      <c r="BR35" s="52"/>
      <c r="BS35" s="52"/>
      <c r="BT35" s="52"/>
      <c r="BU35" s="52"/>
      <c r="BV35" s="52"/>
      <c r="BW35" s="52"/>
      <c r="BX35" s="52"/>
      <c r="BY35" s="52"/>
      <c r="BZ35" s="52"/>
      <c r="CA35" s="52"/>
    </row>
    <row r="36" spans="1:79" s="38" customFormat="1" ht="18.95" customHeight="1" x14ac:dyDescent="0.15">
      <c r="A36" s="270"/>
      <c r="B36" s="200"/>
      <c r="C36" s="201"/>
      <c r="D36" s="199"/>
      <c r="E36" s="200"/>
      <c r="F36" s="201"/>
      <c r="G36" s="57" t="s">
        <v>87</v>
      </c>
      <c r="H36" s="84"/>
      <c r="I36" s="85"/>
      <c r="J36" s="85"/>
      <c r="K36" s="85"/>
      <c r="L36" s="85"/>
      <c r="M36" s="85"/>
      <c r="N36" s="85"/>
      <c r="O36" s="85"/>
      <c r="P36" s="85"/>
      <c r="Q36" s="85"/>
      <c r="R36" s="85"/>
      <c r="S36" s="85"/>
      <c r="T36" s="85"/>
      <c r="U36" s="85"/>
      <c r="V36" s="85"/>
      <c r="W36" s="85"/>
      <c r="X36" s="85"/>
      <c r="Y36" s="85"/>
      <c r="Z36" s="85"/>
      <c r="AA36" s="85"/>
      <c r="AB36" s="85"/>
      <c r="AC36" s="85"/>
      <c r="AD36" s="85"/>
      <c r="AE36" s="85"/>
      <c r="AF36" s="85"/>
      <c r="AG36" s="85"/>
      <c r="AH36" s="85"/>
      <c r="AI36" s="85"/>
      <c r="AJ36" s="85"/>
      <c r="AK36" s="85"/>
      <c r="AL36" s="85"/>
      <c r="AM36" s="199"/>
      <c r="AN36" s="200"/>
      <c r="AO36" s="200"/>
      <c r="AP36" s="204"/>
      <c r="AQ36" s="52"/>
      <c r="AR36" s="37"/>
      <c r="AS36" s="37"/>
      <c r="AT36" s="36"/>
      <c r="AU36" s="52"/>
      <c r="AV36" s="52"/>
      <c r="AW36" s="52"/>
      <c r="AX36" s="52"/>
      <c r="AY36" s="52"/>
      <c r="AZ36" s="52"/>
      <c r="BA36" s="52"/>
      <c r="BB36" s="52"/>
      <c r="BC36" s="52"/>
      <c r="BD36" s="52"/>
      <c r="BE36" s="52"/>
      <c r="BF36" s="52"/>
      <c r="BG36" s="52"/>
      <c r="BH36" s="52"/>
      <c r="BI36" s="52"/>
      <c r="BJ36" s="52"/>
      <c r="BK36" s="52"/>
      <c r="BL36" s="52"/>
      <c r="BM36" s="52"/>
      <c r="BN36" s="52"/>
      <c r="BO36" s="52"/>
      <c r="BP36" s="52"/>
      <c r="BQ36" s="52"/>
      <c r="BR36" s="52"/>
      <c r="BS36" s="52"/>
      <c r="BT36" s="52"/>
      <c r="BU36" s="52"/>
      <c r="BV36" s="52"/>
      <c r="BW36" s="52"/>
      <c r="BX36" s="52"/>
      <c r="BY36" s="52"/>
      <c r="BZ36" s="52"/>
      <c r="CA36" s="52"/>
    </row>
    <row r="37" spans="1:79" s="38" customFormat="1" ht="18.95" customHeight="1" x14ac:dyDescent="0.15">
      <c r="A37" s="271"/>
      <c r="B37" s="272"/>
      <c r="C37" s="273"/>
      <c r="D37" s="190"/>
      <c r="E37" s="191"/>
      <c r="F37" s="192"/>
      <c r="G37" s="58" t="s">
        <v>86</v>
      </c>
      <c r="H37" s="82"/>
      <c r="I37" s="75"/>
      <c r="J37" s="75"/>
      <c r="K37" s="75"/>
      <c r="L37" s="75"/>
      <c r="M37" s="75"/>
      <c r="N37" s="75"/>
      <c r="O37" s="75"/>
      <c r="P37" s="75"/>
      <c r="Q37" s="75"/>
      <c r="R37" s="75"/>
      <c r="S37" s="75"/>
      <c r="T37" s="75"/>
      <c r="U37" s="75"/>
      <c r="V37" s="75"/>
      <c r="W37" s="75"/>
      <c r="X37" s="75"/>
      <c r="Y37" s="75"/>
      <c r="Z37" s="75"/>
      <c r="AA37" s="75"/>
      <c r="AB37" s="75"/>
      <c r="AC37" s="75"/>
      <c r="AD37" s="75"/>
      <c r="AE37" s="75"/>
      <c r="AF37" s="75"/>
      <c r="AG37" s="75"/>
      <c r="AH37" s="75"/>
      <c r="AI37" s="75"/>
      <c r="AJ37" s="75"/>
      <c r="AK37" s="75"/>
      <c r="AL37" s="83"/>
      <c r="AM37" s="190"/>
      <c r="AN37" s="191"/>
      <c r="AO37" s="191"/>
      <c r="AP37" s="205"/>
      <c r="AQ37" s="52"/>
      <c r="AR37" s="37"/>
      <c r="AS37" s="37"/>
      <c r="AT37" s="36"/>
      <c r="AU37" s="52"/>
      <c r="AV37" s="52"/>
      <c r="AW37" s="52"/>
      <c r="AX37" s="52"/>
      <c r="AY37" s="52"/>
      <c r="AZ37" s="52"/>
      <c r="BA37" s="52"/>
      <c r="BB37" s="52"/>
      <c r="BC37" s="52"/>
      <c r="BD37" s="52"/>
      <c r="BE37" s="52"/>
      <c r="BF37" s="52"/>
      <c r="BG37" s="52"/>
      <c r="BH37" s="52"/>
      <c r="BI37" s="52"/>
      <c r="BJ37" s="52"/>
      <c r="BK37" s="52"/>
      <c r="BL37" s="52"/>
      <c r="BM37" s="52"/>
      <c r="BN37" s="52"/>
      <c r="BO37" s="52"/>
      <c r="BP37" s="52"/>
      <c r="BQ37" s="52"/>
      <c r="BR37" s="52"/>
      <c r="BS37" s="52"/>
      <c r="BT37" s="52"/>
      <c r="BU37" s="52"/>
      <c r="BV37" s="52"/>
      <c r="BW37" s="52"/>
      <c r="BX37" s="52"/>
      <c r="BY37" s="52"/>
      <c r="BZ37" s="52"/>
      <c r="CA37" s="52"/>
    </row>
    <row r="38" spans="1:79" s="38" customFormat="1" ht="18.95" customHeight="1" x14ac:dyDescent="0.15">
      <c r="A38" s="274"/>
      <c r="B38" s="275"/>
      <c r="C38" s="276"/>
      <c r="D38" s="193"/>
      <c r="E38" s="194"/>
      <c r="F38" s="195"/>
      <c r="G38" s="57" t="s">
        <v>87</v>
      </c>
      <c r="H38" s="84"/>
      <c r="I38" s="85"/>
      <c r="J38" s="85"/>
      <c r="K38" s="85"/>
      <c r="L38" s="85"/>
      <c r="M38" s="85"/>
      <c r="N38" s="85"/>
      <c r="O38" s="85"/>
      <c r="P38" s="85"/>
      <c r="Q38" s="85"/>
      <c r="R38" s="85"/>
      <c r="S38" s="85"/>
      <c r="T38" s="85"/>
      <c r="U38" s="85"/>
      <c r="V38" s="85"/>
      <c r="W38" s="85"/>
      <c r="X38" s="85"/>
      <c r="Y38" s="85"/>
      <c r="Z38" s="85"/>
      <c r="AA38" s="85"/>
      <c r="AB38" s="85"/>
      <c r="AC38" s="85"/>
      <c r="AD38" s="85"/>
      <c r="AE38" s="85"/>
      <c r="AF38" s="85"/>
      <c r="AG38" s="85"/>
      <c r="AH38" s="85"/>
      <c r="AI38" s="85"/>
      <c r="AJ38" s="85"/>
      <c r="AK38" s="85"/>
      <c r="AL38" s="85"/>
      <c r="AM38" s="193"/>
      <c r="AN38" s="194"/>
      <c r="AO38" s="194"/>
      <c r="AP38" s="206"/>
      <c r="AQ38" s="52"/>
      <c r="AR38" s="37"/>
      <c r="AS38" s="37"/>
      <c r="AT38" s="36"/>
      <c r="AU38" s="52"/>
      <c r="AV38" s="52"/>
      <c r="AW38" s="52"/>
      <c r="AX38" s="52"/>
      <c r="AY38" s="52"/>
      <c r="AZ38" s="52"/>
      <c r="BA38" s="52"/>
      <c r="BB38" s="52"/>
      <c r="BC38" s="52"/>
      <c r="BD38" s="52"/>
      <c r="BE38" s="52"/>
      <c r="BF38" s="52"/>
      <c r="BG38" s="52"/>
      <c r="BH38" s="52"/>
      <c r="BI38" s="52"/>
      <c r="BJ38" s="52"/>
      <c r="BK38" s="52"/>
      <c r="BL38" s="52"/>
      <c r="BM38" s="52"/>
      <c r="BN38" s="52"/>
      <c r="BO38" s="52"/>
      <c r="BP38" s="52"/>
      <c r="BQ38" s="52"/>
      <c r="BR38" s="52"/>
      <c r="BS38" s="52"/>
      <c r="BT38" s="52"/>
      <c r="BU38" s="52"/>
      <c r="BV38" s="52"/>
      <c r="BW38" s="52"/>
      <c r="BX38" s="52"/>
      <c r="BY38" s="52"/>
      <c r="BZ38" s="52"/>
      <c r="CA38" s="52"/>
    </row>
    <row r="39" spans="1:79" s="38" customFormat="1" ht="18.95" customHeight="1" x14ac:dyDescent="0.15">
      <c r="A39" s="269"/>
      <c r="B39" s="197"/>
      <c r="C39" s="198"/>
      <c r="D39" s="196"/>
      <c r="E39" s="197"/>
      <c r="F39" s="198"/>
      <c r="G39" s="58" t="s">
        <v>86</v>
      </c>
      <c r="H39" s="82"/>
      <c r="I39" s="75"/>
      <c r="J39" s="75"/>
      <c r="K39" s="75"/>
      <c r="L39" s="75"/>
      <c r="M39" s="75"/>
      <c r="N39" s="75"/>
      <c r="O39" s="75"/>
      <c r="P39" s="75"/>
      <c r="Q39" s="75"/>
      <c r="R39" s="75"/>
      <c r="S39" s="75"/>
      <c r="T39" s="75"/>
      <c r="U39" s="75"/>
      <c r="V39" s="75"/>
      <c r="W39" s="75"/>
      <c r="X39" s="75"/>
      <c r="Y39" s="75"/>
      <c r="Z39" s="75"/>
      <c r="AA39" s="75"/>
      <c r="AB39" s="75"/>
      <c r="AC39" s="75"/>
      <c r="AD39" s="75"/>
      <c r="AE39" s="75"/>
      <c r="AF39" s="75"/>
      <c r="AG39" s="75"/>
      <c r="AH39" s="75"/>
      <c r="AI39" s="75"/>
      <c r="AJ39" s="75"/>
      <c r="AK39" s="75"/>
      <c r="AL39" s="83"/>
      <c r="AM39" s="196"/>
      <c r="AN39" s="197"/>
      <c r="AO39" s="197"/>
      <c r="AP39" s="203"/>
      <c r="AQ39" s="52"/>
      <c r="AR39" s="37"/>
      <c r="AS39" s="37"/>
      <c r="AT39" s="36"/>
      <c r="AU39" s="52"/>
      <c r="AV39" s="52"/>
      <c r="AW39" s="52"/>
      <c r="AX39" s="52"/>
      <c r="AY39" s="52"/>
      <c r="AZ39" s="52"/>
      <c r="BA39" s="52"/>
      <c r="BB39" s="52"/>
      <c r="BC39" s="52"/>
      <c r="BD39" s="52"/>
      <c r="BE39" s="52"/>
      <c r="BF39" s="52"/>
      <c r="BG39" s="52"/>
      <c r="BH39" s="52"/>
      <c r="BI39" s="52"/>
      <c r="BJ39" s="52"/>
      <c r="BK39" s="52"/>
      <c r="BL39" s="52"/>
      <c r="BM39" s="52"/>
      <c r="BN39" s="52"/>
      <c r="BO39" s="52"/>
      <c r="BP39" s="52"/>
      <c r="BQ39" s="52"/>
      <c r="BR39" s="52"/>
      <c r="BS39" s="52"/>
      <c r="BT39" s="52"/>
      <c r="BU39" s="52"/>
      <c r="BV39" s="52"/>
      <c r="BW39" s="52"/>
      <c r="BX39" s="52"/>
      <c r="BY39" s="52"/>
      <c r="BZ39" s="52"/>
      <c r="CA39" s="52"/>
    </row>
    <row r="40" spans="1:79" s="38" customFormat="1" ht="18.95" customHeight="1" x14ac:dyDescent="0.15">
      <c r="A40" s="270"/>
      <c r="B40" s="200"/>
      <c r="C40" s="201"/>
      <c r="D40" s="199"/>
      <c r="E40" s="200"/>
      <c r="F40" s="201"/>
      <c r="G40" s="57" t="s">
        <v>87</v>
      </c>
      <c r="H40" s="84"/>
      <c r="I40" s="85"/>
      <c r="J40" s="85"/>
      <c r="K40" s="85"/>
      <c r="L40" s="85"/>
      <c r="M40" s="85"/>
      <c r="N40" s="85"/>
      <c r="O40" s="85"/>
      <c r="P40" s="85"/>
      <c r="Q40" s="85"/>
      <c r="R40" s="85"/>
      <c r="S40" s="85"/>
      <c r="T40" s="85"/>
      <c r="U40" s="85"/>
      <c r="V40" s="85"/>
      <c r="W40" s="85"/>
      <c r="X40" s="85"/>
      <c r="Y40" s="85"/>
      <c r="Z40" s="85"/>
      <c r="AA40" s="85"/>
      <c r="AB40" s="85"/>
      <c r="AC40" s="85"/>
      <c r="AD40" s="85"/>
      <c r="AE40" s="85"/>
      <c r="AF40" s="85"/>
      <c r="AG40" s="85"/>
      <c r="AH40" s="85"/>
      <c r="AI40" s="85"/>
      <c r="AJ40" s="85"/>
      <c r="AK40" s="85"/>
      <c r="AL40" s="85"/>
      <c r="AM40" s="199"/>
      <c r="AN40" s="200"/>
      <c r="AO40" s="200"/>
      <c r="AP40" s="204"/>
      <c r="AQ40" s="52"/>
      <c r="AR40" s="37"/>
      <c r="AS40" s="37"/>
      <c r="AT40" s="36"/>
      <c r="AU40" s="52"/>
      <c r="AV40" s="52"/>
      <c r="AW40" s="52"/>
      <c r="AX40" s="52"/>
      <c r="AY40" s="52"/>
      <c r="AZ40" s="52"/>
      <c r="BA40" s="52"/>
      <c r="BB40" s="52"/>
      <c r="BC40" s="52"/>
      <c r="BD40" s="52"/>
      <c r="BE40" s="52"/>
      <c r="BF40" s="52"/>
      <c r="BG40" s="52"/>
      <c r="BH40" s="52"/>
      <c r="BI40" s="52"/>
      <c r="BJ40" s="52"/>
      <c r="BK40" s="52"/>
      <c r="BL40" s="52"/>
      <c r="BM40" s="52"/>
      <c r="BN40" s="52"/>
      <c r="BO40" s="52"/>
      <c r="BP40" s="52"/>
      <c r="BQ40" s="52"/>
      <c r="BR40" s="52"/>
      <c r="BS40" s="52"/>
      <c r="BT40" s="52"/>
      <c r="BU40" s="52"/>
      <c r="BV40" s="52"/>
      <c r="BW40" s="52"/>
      <c r="BX40" s="52"/>
      <c r="BY40" s="52"/>
      <c r="BZ40" s="52"/>
      <c r="CA40" s="52"/>
    </row>
    <row r="41" spans="1:79" s="38" customFormat="1" ht="18.95" customHeight="1" x14ac:dyDescent="0.15">
      <c r="A41" s="271"/>
      <c r="B41" s="272"/>
      <c r="C41" s="273"/>
      <c r="D41" s="190"/>
      <c r="E41" s="191"/>
      <c r="F41" s="192"/>
      <c r="G41" s="58" t="s">
        <v>86</v>
      </c>
      <c r="H41" s="86"/>
      <c r="I41" s="75"/>
      <c r="J41" s="75"/>
      <c r="K41" s="75"/>
      <c r="L41" s="75"/>
      <c r="M41" s="75"/>
      <c r="N41" s="75"/>
      <c r="O41" s="75"/>
      <c r="P41" s="75"/>
      <c r="Q41" s="75"/>
      <c r="R41" s="75"/>
      <c r="S41" s="75"/>
      <c r="T41" s="75"/>
      <c r="U41" s="75"/>
      <c r="V41" s="75"/>
      <c r="W41" s="75"/>
      <c r="X41" s="75"/>
      <c r="Y41" s="75"/>
      <c r="Z41" s="75"/>
      <c r="AA41" s="75"/>
      <c r="AB41" s="75"/>
      <c r="AC41" s="75"/>
      <c r="AD41" s="75"/>
      <c r="AE41" s="75"/>
      <c r="AF41" s="75"/>
      <c r="AG41" s="75"/>
      <c r="AH41" s="75"/>
      <c r="AI41" s="75"/>
      <c r="AJ41" s="75"/>
      <c r="AK41" s="75"/>
      <c r="AL41" s="75"/>
      <c r="AM41" s="190"/>
      <c r="AN41" s="191"/>
      <c r="AO41" s="191"/>
      <c r="AP41" s="205"/>
      <c r="AQ41" s="52"/>
      <c r="AR41" s="37"/>
      <c r="AS41" s="37"/>
      <c r="AT41" s="36"/>
      <c r="AU41" s="52"/>
      <c r="AV41" s="52"/>
      <c r="AW41" s="52"/>
      <c r="AX41" s="52"/>
      <c r="AY41" s="52"/>
      <c r="AZ41" s="52"/>
      <c r="BA41" s="52"/>
      <c r="BB41" s="52"/>
      <c r="BC41" s="52"/>
      <c r="BD41" s="52"/>
      <c r="BE41" s="52"/>
      <c r="BF41" s="52"/>
      <c r="BG41" s="52"/>
      <c r="BH41" s="52"/>
      <c r="BI41" s="52"/>
      <c r="BJ41" s="52"/>
      <c r="BK41" s="52"/>
      <c r="BL41" s="52"/>
      <c r="BM41" s="52"/>
      <c r="BN41" s="52"/>
      <c r="BO41" s="52"/>
      <c r="BP41" s="52"/>
      <c r="BQ41" s="52"/>
      <c r="BR41" s="52"/>
      <c r="BS41" s="52"/>
      <c r="BT41" s="52"/>
      <c r="BU41" s="52"/>
      <c r="BV41" s="52"/>
      <c r="BW41" s="52"/>
      <c r="BX41" s="52"/>
      <c r="BY41" s="52"/>
      <c r="BZ41" s="52"/>
      <c r="CA41" s="52"/>
    </row>
    <row r="42" spans="1:79" s="38" customFormat="1" ht="18.95" customHeight="1" x14ac:dyDescent="0.15">
      <c r="A42" s="274"/>
      <c r="B42" s="275"/>
      <c r="C42" s="276"/>
      <c r="D42" s="193"/>
      <c r="E42" s="194"/>
      <c r="F42" s="195"/>
      <c r="G42" s="57" t="s">
        <v>87</v>
      </c>
      <c r="H42" s="86"/>
      <c r="I42" s="75"/>
      <c r="J42" s="75"/>
      <c r="K42" s="75"/>
      <c r="L42" s="75"/>
      <c r="M42" s="75"/>
      <c r="N42" s="75"/>
      <c r="O42" s="75"/>
      <c r="P42" s="75"/>
      <c r="Q42" s="75"/>
      <c r="R42" s="75"/>
      <c r="S42" s="75"/>
      <c r="T42" s="75"/>
      <c r="U42" s="75"/>
      <c r="V42" s="75"/>
      <c r="W42" s="75"/>
      <c r="X42" s="75"/>
      <c r="Y42" s="75"/>
      <c r="Z42" s="75"/>
      <c r="AA42" s="75"/>
      <c r="AB42" s="75"/>
      <c r="AC42" s="75"/>
      <c r="AD42" s="75"/>
      <c r="AE42" s="75"/>
      <c r="AF42" s="75"/>
      <c r="AG42" s="75"/>
      <c r="AH42" s="75"/>
      <c r="AI42" s="75"/>
      <c r="AJ42" s="75"/>
      <c r="AK42" s="75"/>
      <c r="AL42" s="75"/>
      <c r="AM42" s="193"/>
      <c r="AN42" s="194"/>
      <c r="AO42" s="194"/>
      <c r="AP42" s="206"/>
      <c r="AQ42" s="52"/>
      <c r="AR42" s="37"/>
      <c r="AS42" s="37"/>
      <c r="AT42" s="36"/>
      <c r="AU42" s="52"/>
      <c r="AV42" s="52"/>
      <c r="AW42" s="52"/>
      <c r="AX42" s="52"/>
      <c r="AY42" s="52"/>
      <c r="AZ42" s="52"/>
      <c r="BA42" s="52"/>
      <c r="BB42" s="52"/>
      <c r="BC42" s="52"/>
      <c r="BD42" s="52"/>
      <c r="BE42" s="52"/>
      <c r="BF42" s="52"/>
      <c r="BG42" s="52"/>
      <c r="BH42" s="52"/>
      <c r="BI42" s="52"/>
      <c r="BJ42" s="52"/>
      <c r="BK42" s="52"/>
      <c r="BL42" s="52"/>
      <c r="BM42" s="52"/>
      <c r="BN42" s="52"/>
      <c r="BO42" s="52"/>
      <c r="BP42" s="52"/>
      <c r="BQ42" s="52"/>
      <c r="BR42" s="52"/>
      <c r="BS42" s="52"/>
      <c r="BT42" s="52"/>
      <c r="BU42" s="52"/>
      <c r="BV42" s="52"/>
      <c r="BW42" s="52"/>
      <c r="BX42" s="52"/>
      <c r="BY42" s="52"/>
      <c r="BZ42" s="52"/>
      <c r="CA42" s="52"/>
    </row>
    <row r="43" spans="1:79" ht="22.7" customHeight="1" x14ac:dyDescent="0.25">
      <c r="A43" s="145" t="s">
        <v>93</v>
      </c>
      <c r="B43" s="146"/>
      <c r="C43" s="146"/>
      <c r="D43" s="146"/>
      <c r="E43" s="146"/>
      <c r="F43" s="146"/>
      <c r="G43" s="146"/>
      <c r="H43" s="146"/>
      <c r="I43" s="146"/>
      <c r="J43" s="146"/>
      <c r="K43" s="146"/>
      <c r="L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46"/>
      <c r="AK43" s="146"/>
      <c r="AL43" s="146"/>
      <c r="AM43" s="146"/>
      <c r="AN43" s="146"/>
      <c r="AO43" s="146"/>
      <c r="AP43" s="147"/>
    </row>
    <row r="44" spans="1:79" ht="22.7" customHeight="1" x14ac:dyDescent="0.25">
      <c r="A44" s="145"/>
      <c r="B44" s="146"/>
      <c r="C44" s="146"/>
      <c r="D44" s="146"/>
      <c r="E44" s="146"/>
      <c r="F44" s="146"/>
      <c r="G44" s="146"/>
      <c r="H44" s="146"/>
      <c r="I44" s="146"/>
      <c r="J44" s="146"/>
      <c r="K44" s="146"/>
      <c r="L44" s="146"/>
      <c r="M44" s="146"/>
      <c r="N44" s="146"/>
      <c r="O44" s="146"/>
      <c r="P44" s="146"/>
      <c r="Q44" s="146"/>
      <c r="R44" s="146"/>
      <c r="S44" s="146"/>
      <c r="T44" s="146"/>
      <c r="U44" s="146"/>
      <c r="V44" s="146"/>
      <c r="W44" s="146"/>
      <c r="X44" s="146"/>
      <c r="Y44" s="146"/>
      <c r="Z44" s="146"/>
      <c r="AA44" s="146"/>
      <c r="AB44" s="146"/>
      <c r="AC44" s="146"/>
      <c r="AD44" s="146"/>
      <c r="AE44" s="146"/>
      <c r="AF44" s="146"/>
      <c r="AG44" s="146"/>
      <c r="AH44" s="146"/>
      <c r="AI44" s="146"/>
      <c r="AJ44" s="146"/>
      <c r="AK44" s="146"/>
      <c r="AL44" s="146"/>
      <c r="AM44" s="146"/>
      <c r="AN44" s="146"/>
      <c r="AO44" s="146"/>
      <c r="AP44" s="147"/>
    </row>
    <row r="45" spans="1:79" ht="24.75" customHeight="1" x14ac:dyDescent="0.25">
      <c r="A45" s="148" t="s">
        <v>18</v>
      </c>
      <c r="B45" s="149"/>
      <c r="C45" s="149"/>
      <c r="D45" s="149"/>
      <c r="E45" s="149"/>
      <c r="F45" s="131" t="s">
        <v>94</v>
      </c>
      <c r="G45" s="132"/>
      <c r="H45" s="132"/>
      <c r="I45" s="132"/>
      <c r="J45" s="132"/>
      <c r="K45" s="132"/>
      <c r="L45" s="132"/>
      <c r="M45" s="132"/>
      <c r="N45" s="133"/>
      <c r="O45" s="131" t="s">
        <v>19</v>
      </c>
      <c r="P45" s="132"/>
      <c r="Q45" s="132"/>
      <c r="R45" s="132"/>
      <c r="S45" s="132"/>
      <c r="T45" s="132"/>
      <c r="U45" s="132"/>
      <c r="V45" s="132"/>
      <c r="W45" s="132"/>
      <c r="X45" s="132"/>
      <c r="Y45" s="132"/>
      <c r="Z45" s="132"/>
      <c r="AA45" s="132"/>
      <c r="AB45" s="132"/>
      <c r="AC45" s="132"/>
      <c r="AD45" s="132"/>
      <c r="AE45" s="132"/>
      <c r="AF45" s="132"/>
      <c r="AG45" s="132"/>
      <c r="AH45" s="132"/>
      <c r="AI45" s="132"/>
      <c r="AJ45" s="132"/>
      <c r="AK45" s="132"/>
      <c r="AL45" s="132"/>
      <c r="AM45" s="133"/>
      <c r="AN45" s="150" t="s">
        <v>20</v>
      </c>
      <c r="AO45" s="150"/>
      <c r="AP45" s="151"/>
    </row>
    <row r="46" spans="1:79" ht="69.95" customHeight="1" x14ac:dyDescent="0.25">
      <c r="A46" s="152"/>
      <c r="B46" s="153"/>
      <c r="C46" s="153"/>
      <c r="D46" s="153"/>
      <c r="E46" s="153"/>
      <c r="F46" s="264" t="str">
        <f>IF(A46="","",VLOOKUP(A46,Parametres!A:D,2,FALSE()))</f>
        <v/>
      </c>
      <c r="G46" s="265"/>
      <c r="H46" s="265"/>
      <c r="I46" s="265"/>
      <c r="J46" s="265"/>
      <c r="K46" s="265"/>
      <c r="L46" s="265"/>
      <c r="M46" s="265"/>
      <c r="N46" s="266"/>
      <c r="O46" s="264" t="str">
        <f>IF(A46="","",VLOOKUP(A46,Parametres!A:D,3,FALSE()))</f>
        <v/>
      </c>
      <c r="P46" s="265"/>
      <c r="Q46" s="265"/>
      <c r="R46" s="265"/>
      <c r="S46" s="265"/>
      <c r="T46" s="265"/>
      <c r="U46" s="265"/>
      <c r="V46" s="265"/>
      <c r="W46" s="265"/>
      <c r="X46" s="265"/>
      <c r="Y46" s="265"/>
      <c r="Z46" s="265"/>
      <c r="AA46" s="265"/>
      <c r="AB46" s="265"/>
      <c r="AC46" s="265"/>
      <c r="AD46" s="265"/>
      <c r="AE46" s="265"/>
      <c r="AF46" s="265"/>
      <c r="AG46" s="265"/>
      <c r="AH46" s="265"/>
      <c r="AI46" s="265"/>
      <c r="AJ46" s="265"/>
      <c r="AK46" s="265"/>
      <c r="AL46" s="265"/>
      <c r="AM46" s="266"/>
      <c r="AN46" s="153" t="str">
        <f>IF(A46="","",VLOOKUP(A46,Parametres!A:D,4,FALSE()))</f>
        <v/>
      </c>
      <c r="AO46" s="153"/>
      <c r="AP46" s="154"/>
    </row>
    <row r="47" spans="1:79" ht="69.95" customHeight="1" x14ac:dyDescent="0.25">
      <c r="A47" s="162"/>
      <c r="B47" s="163"/>
      <c r="C47" s="163"/>
      <c r="D47" s="163"/>
      <c r="E47" s="163"/>
      <c r="F47" s="260" t="str">
        <f>IF(A47="","",VLOOKUP(A47,Parametres!A:D,2,FALSE()))</f>
        <v/>
      </c>
      <c r="G47" s="261"/>
      <c r="H47" s="261"/>
      <c r="I47" s="261"/>
      <c r="J47" s="261"/>
      <c r="K47" s="261"/>
      <c r="L47" s="261"/>
      <c r="M47" s="261"/>
      <c r="N47" s="261"/>
      <c r="O47" s="260" t="str">
        <f>IF(A47="","",VLOOKUP(A47,Parametres!A:D,3,FALSE()))</f>
        <v/>
      </c>
      <c r="P47" s="261"/>
      <c r="Q47" s="261"/>
      <c r="R47" s="261"/>
      <c r="S47" s="261"/>
      <c r="T47" s="261"/>
      <c r="U47" s="261"/>
      <c r="V47" s="261"/>
      <c r="W47" s="261"/>
      <c r="X47" s="261"/>
      <c r="Y47" s="261"/>
      <c r="Z47" s="261"/>
      <c r="AA47" s="261"/>
      <c r="AB47" s="261"/>
      <c r="AC47" s="261"/>
      <c r="AD47" s="261"/>
      <c r="AE47" s="261"/>
      <c r="AF47" s="261"/>
      <c r="AG47" s="261"/>
      <c r="AH47" s="261"/>
      <c r="AI47" s="261"/>
      <c r="AJ47" s="261"/>
      <c r="AK47" s="261"/>
      <c r="AL47" s="261"/>
      <c r="AM47" s="267"/>
      <c r="AN47" s="164" t="str">
        <f>IF(A47="","",VLOOKUP(A47,Parametres!A:D,4,FALSE()))</f>
        <v/>
      </c>
      <c r="AO47" s="164"/>
      <c r="AP47" s="165"/>
    </row>
    <row r="48" spans="1:79" ht="69.95" customHeight="1" x14ac:dyDescent="0.25">
      <c r="A48" s="152"/>
      <c r="B48" s="153"/>
      <c r="C48" s="153"/>
      <c r="D48" s="153"/>
      <c r="E48" s="153"/>
      <c r="F48" s="264" t="str">
        <f>IF(A48="","",VLOOKUP(A48,Parametres!A:D,2,FALSE()))</f>
        <v/>
      </c>
      <c r="G48" s="265"/>
      <c r="H48" s="265"/>
      <c r="I48" s="265"/>
      <c r="J48" s="265"/>
      <c r="K48" s="265"/>
      <c r="L48" s="265"/>
      <c r="M48" s="265"/>
      <c r="N48" s="265"/>
      <c r="O48" s="264" t="str">
        <f>IF(A48="","",VLOOKUP(A48,Parametres!A:D,3,FALSE()))</f>
        <v/>
      </c>
      <c r="P48" s="265"/>
      <c r="Q48" s="265"/>
      <c r="R48" s="265"/>
      <c r="S48" s="265"/>
      <c r="T48" s="265"/>
      <c r="U48" s="265"/>
      <c r="V48" s="265"/>
      <c r="W48" s="265"/>
      <c r="X48" s="265"/>
      <c r="Y48" s="265"/>
      <c r="Z48" s="265"/>
      <c r="AA48" s="265"/>
      <c r="AB48" s="265"/>
      <c r="AC48" s="265"/>
      <c r="AD48" s="265"/>
      <c r="AE48" s="265"/>
      <c r="AF48" s="265"/>
      <c r="AG48" s="265"/>
      <c r="AH48" s="265"/>
      <c r="AI48" s="265"/>
      <c r="AJ48" s="265"/>
      <c r="AK48" s="265"/>
      <c r="AL48" s="265"/>
      <c r="AM48" s="266"/>
      <c r="AN48" s="153" t="str">
        <f>IF(A48="","",VLOOKUP(A48,Parametres!A:D,4,FALSE()))</f>
        <v/>
      </c>
      <c r="AO48" s="153"/>
      <c r="AP48" s="154"/>
    </row>
    <row r="49" spans="1:42" ht="69.95" customHeight="1" x14ac:dyDescent="0.25">
      <c r="A49" s="162"/>
      <c r="B49" s="163"/>
      <c r="C49" s="163"/>
      <c r="D49" s="163"/>
      <c r="E49" s="163"/>
      <c r="F49" s="260" t="str">
        <f>IF(A49="","",VLOOKUP(A49,Parametres!A:D,2,FALSE()))</f>
        <v/>
      </c>
      <c r="G49" s="261"/>
      <c r="H49" s="261"/>
      <c r="I49" s="261"/>
      <c r="J49" s="261"/>
      <c r="K49" s="261"/>
      <c r="L49" s="261"/>
      <c r="M49" s="261"/>
      <c r="N49" s="261"/>
      <c r="O49" s="260" t="str">
        <f>IF(A49="","",VLOOKUP(A49,Parametres!A:D,3,FALSE()))</f>
        <v/>
      </c>
      <c r="P49" s="261"/>
      <c r="Q49" s="261"/>
      <c r="R49" s="261"/>
      <c r="S49" s="261"/>
      <c r="T49" s="261"/>
      <c r="U49" s="261"/>
      <c r="V49" s="261"/>
      <c r="W49" s="261"/>
      <c r="X49" s="261"/>
      <c r="Y49" s="261"/>
      <c r="Z49" s="261"/>
      <c r="AA49" s="261"/>
      <c r="AB49" s="261"/>
      <c r="AC49" s="261"/>
      <c r="AD49" s="261"/>
      <c r="AE49" s="261"/>
      <c r="AF49" s="261"/>
      <c r="AG49" s="261"/>
      <c r="AH49" s="261"/>
      <c r="AI49" s="261"/>
      <c r="AJ49" s="261"/>
      <c r="AK49" s="261"/>
      <c r="AL49" s="261"/>
      <c r="AM49" s="267"/>
      <c r="AN49" s="164" t="str">
        <f>IF(A49="","",VLOOKUP(A49,Parametres!A:D,4,FALSE()))</f>
        <v/>
      </c>
      <c r="AO49" s="164"/>
      <c r="AP49" s="165"/>
    </row>
    <row r="50" spans="1:42" ht="69.95" customHeight="1" thickBot="1" x14ac:dyDescent="0.3">
      <c r="A50" s="152"/>
      <c r="B50" s="153"/>
      <c r="C50" s="153"/>
      <c r="D50" s="153"/>
      <c r="E50" s="153"/>
      <c r="F50" s="262" t="str">
        <f>IF(A50="","",VLOOKUP(A50,Parametres!A:D,2,FALSE()))</f>
        <v/>
      </c>
      <c r="G50" s="263"/>
      <c r="H50" s="263"/>
      <c r="I50" s="263"/>
      <c r="J50" s="263"/>
      <c r="K50" s="263"/>
      <c r="L50" s="263"/>
      <c r="M50" s="263"/>
      <c r="N50" s="263"/>
      <c r="O50" s="262" t="str">
        <f>IF(A50="","",VLOOKUP(A50,Parametres!A:D,3,FALSE()))</f>
        <v/>
      </c>
      <c r="P50" s="263"/>
      <c r="Q50" s="263"/>
      <c r="R50" s="263"/>
      <c r="S50" s="263"/>
      <c r="T50" s="263"/>
      <c r="U50" s="263"/>
      <c r="V50" s="263"/>
      <c r="W50" s="263"/>
      <c r="X50" s="263"/>
      <c r="Y50" s="263"/>
      <c r="Z50" s="263"/>
      <c r="AA50" s="263"/>
      <c r="AB50" s="263"/>
      <c r="AC50" s="263"/>
      <c r="AD50" s="263"/>
      <c r="AE50" s="263"/>
      <c r="AF50" s="263"/>
      <c r="AG50" s="263"/>
      <c r="AH50" s="263"/>
      <c r="AI50" s="263"/>
      <c r="AJ50" s="263"/>
      <c r="AK50" s="263"/>
      <c r="AL50" s="263"/>
      <c r="AM50" s="268"/>
      <c r="AN50" s="166" t="str">
        <f>IF(A50="","",VLOOKUP(A50,Parametres!A:D,4,FALSE()))</f>
        <v/>
      </c>
      <c r="AO50" s="166"/>
      <c r="AP50" s="167"/>
    </row>
    <row r="51" spans="1:42" ht="22.7" customHeight="1" x14ac:dyDescent="0.25">
      <c r="A51" s="155" t="s">
        <v>23</v>
      </c>
      <c r="B51" s="156"/>
      <c r="C51" s="156"/>
      <c r="D51" s="156"/>
      <c r="E51" s="156"/>
      <c r="F51" s="156"/>
      <c r="G51" s="156"/>
      <c r="H51" s="156"/>
      <c r="I51" s="156"/>
      <c r="J51" s="156"/>
      <c r="K51" s="156"/>
      <c r="L51" s="156"/>
      <c r="M51" s="156"/>
      <c r="N51" s="156"/>
      <c r="O51" s="157"/>
      <c r="P51" s="157"/>
      <c r="Q51" s="157"/>
      <c r="R51" s="157"/>
      <c r="S51" s="157"/>
      <c r="T51" s="157"/>
      <c r="U51" s="157"/>
      <c r="V51" s="157"/>
      <c r="W51" s="157"/>
      <c r="X51" s="157"/>
      <c r="Y51" s="157"/>
      <c r="Z51" s="157"/>
      <c r="AA51" s="157"/>
      <c r="AB51" s="157"/>
      <c r="AC51" s="157"/>
      <c r="AD51" s="157"/>
      <c r="AE51" s="157"/>
      <c r="AF51" s="157"/>
      <c r="AG51" s="157"/>
      <c r="AH51" s="157"/>
      <c r="AI51" s="157"/>
      <c r="AJ51" s="157"/>
      <c r="AK51" s="157"/>
      <c r="AL51" s="157"/>
      <c r="AM51" s="157"/>
      <c r="AN51" s="156"/>
      <c r="AO51" s="156"/>
      <c r="AP51" s="158"/>
    </row>
    <row r="52" spans="1:42" ht="22.7" customHeight="1" thickBot="1" x14ac:dyDescent="0.3">
      <c r="A52" s="159"/>
      <c r="B52" s="160"/>
      <c r="C52" s="160"/>
      <c r="D52" s="160"/>
      <c r="E52" s="160"/>
      <c r="F52" s="160"/>
      <c r="G52" s="160"/>
      <c r="H52" s="160"/>
      <c r="I52" s="160"/>
      <c r="J52" s="160"/>
      <c r="K52" s="160"/>
      <c r="L52" s="160"/>
      <c r="M52" s="160"/>
      <c r="N52" s="160"/>
      <c r="O52" s="160"/>
      <c r="P52" s="160"/>
      <c r="Q52" s="160"/>
      <c r="R52" s="160"/>
      <c r="S52" s="160"/>
      <c r="T52" s="160"/>
      <c r="U52" s="160"/>
      <c r="V52" s="160"/>
      <c r="W52" s="160"/>
      <c r="X52" s="160"/>
      <c r="Y52" s="160"/>
      <c r="Z52" s="160"/>
      <c r="AA52" s="160"/>
      <c r="AB52" s="160"/>
      <c r="AC52" s="160"/>
      <c r="AD52" s="160"/>
      <c r="AE52" s="160"/>
      <c r="AF52" s="160"/>
      <c r="AG52" s="160"/>
      <c r="AH52" s="160"/>
      <c r="AI52" s="160"/>
      <c r="AJ52" s="160"/>
      <c r="AK52" s="160"/>
      <c r="AL52" s="160"/>
      <c r="AM52" s="160"/>
      <c r="AN52" s="160"/>
      <c r="AO52" s="160"/>
      <c r="AP52" s="161"/>
    </row>
    <row r="53" spans="1:42" ht="15" customHeight="1" x14ac:dyDescent="0.25">
      <c r="A53" s="119" t="s">
        <v>24</v>
      </c>
      <c r="B53" s="120"/>
      <c r="C53" s="120"/>
      <c r="D53" s="120"/>
      <c r="E53" s="120"/>
      <c r="F53" s="120"/>
      <c r="G53" s="120"/>
      <c r="H53" s="120"/>
      <c r="I53" s="120"/>
      <c r="J53" s="120"/>
      <c r="K53" s="120"/>
      <c r="L53" s="120"/>
      <c r="M53" s="120"/>
      <c r="N53" s="120"/>
      <c r="O53" s="120"/>
      <c r="P53" s="120"/>
      <c r="Q53" s="120"/>
      <c r="R53" s="120"/>
      <c r="S53" s="120"/>
      <c r="T53" s="125"/>
      <c r="U53" s="125"/>
      <c r="V53" s="125"/>
      <c r="W53" s="125"/>
      <c r="X53" s="125"/>
      <c r="Y53" s="125"/>
      <c r="Z53" s="125"/>
      <c r="AA53" s="125"/>
      <c r="AB53" s="125"/>
      <c r="AC53" s="125"/>
      <c r="AD53" s="125"/>
      <c r="AE53" s="125"/>
      <c r="AF53" s="125"/>
      <c r="AG53" s="125"/>
      <c r="AH53" s="125"/>
      <c r="AI53" s="125"/>
      <c r="AJ53" s="125"/>
      <c r="AK53" s="125"/>
      <c r="AL53" s="125"/>
      <c r="AM53" s="125"/>
      <c r="AN53" s="125"/>
      <c r="AO53" s="125"/>
      <c r="AP53" s="126"/>
    </row>
    <row r="54" spans="1:42" ht="15" customHeight="1" x14ac:dyDescent="0.25">
      <c r="A54" s="121"/>
      <c r="B54" s="122"/>
      <c r="C54" s="122"/>
      <c r="D54" s="122"/>
      <c r="E54" s="122"/>
      <c r="F54" s="122"/>
      <c r="G54" s="122"/>
      <c r="H54" s="122"/>
      <c r="I54" s="122"/>
      <c r="J54" s="122"/>
      <c r="K54" s="122"/>
      <c r="L54" s="122"/>
      <c r="M54" s="122"/>
      <c r="N54" s="122"/>
      <c r="O54" s="122"/>
      <c r="P54" s="122"/>
      <c r="Q54" s="122"/>
      <c r="R54" s="122"/>
      <c r="S54" s="122"/>
      <c r="T54" s="127"/>
      <c r="U54" s="127"/>
      <c r="V54" s="127"/>
      <c r="W54" s="127"/>
      <c r="X54" s="127"/>
      <c r="Y54" s="127"/>
      <c r="Z54" s="127"/>
      <c r="AA54" s="127"/>
      <c r="AB54" s="127"/>
      <c r="AC54" s="127"/>
      <c r="AD54" s="127"/>
      <c r="AE54" s="127"/>
      <c r="AF54" s="127"/>
      <c r="AG54" s="127"/>
      <c r="AH54" s="127"/>
      <c r="AI54" s="127"/>
      <c r="AJ54" s="127"/>
      <c r="AK54" s="127"/>
      <c r="AL54" s="127"/>
      <c r="AM54" s="127"/>
      <c r="AN54" s="127"/>
      <c r="AO54" s="127"/>
      <c r="AP54" s="128"/>
    </row>
    <row r="55" spans="1:42" ht="15" customHeight="1" x14ac:dyDescent="0.25">
      <c r="A55" s="121"/>
      <c r="B55" s="122"/>
      <c r="C55" s="122"/>
      <c r="D55" s="122"/>
      <c r="E55" s="122"/>
      <c r="F55" s="122"/>
      <c r="G55" s="122"/>
      <c r="H55" s="122"/>
      <c r="I55" s="122"/>
      <c r="J55" s="122"/>
      <c r="K55" s="122"/>
      <c r="L55" s="122"/>
      <c r="M55" s="122"/>
      <c r="N55" s="122"/>
      <c r="O55" s="122"/>
      <c r="P55" s="122"/>
      <c r="Q55" s="122"/>
      <c r="R55" s="122"/>
      <c r="S55" s="122"/>
      <c r="T55" s="127"/>
      <c r="U55" s="127"/>
      <c r="V55" s="127"/>
      <c r="W55" s="127"/>
      <c r="X55" s="127"/>
      <c r="Y55" s="127"/>
      <c r="Z55" s="127"/>
      <c r="AA55" s="127"/>
      <c r="AB55" s="127"/>
      <c r="AC55" s="127"/>
      <c r="AD55" s="127"/>
      <c r="AE55" s="127"/>
      <c r="AF55" s="127"/>
      <c r="AG55" s="127"/>
      <c r="AH55" s="127"/>
      <c r="AI55" s="127"/>
      <c r="AJ55" s="127"/>
      <c r="AK55" s="127"/>
      <c r="AL55" s="127"/>
      <c r="AM55" s="127"/>
      <c r="AN55" s="127"/>
      <c r="AO55" s="127"/>
      <c r="AP55" s="128"/>
    </row>
    <row r="56" spans="1:42" ht="15" customHeight="1" x14ac:dyDescent="0.25">
      <c r="A56" s="121"/>
      <c r="B56" s="122"/>
      <c r="C56" s="122"/>
      <c r="D56" s="122"/>
      <c r="E56" s="122"/>
      <c r="F56" s="122"/>
      <c r="G56" s="122"/>
      <c r="H56" s="122"/>
      <c r="I56" s="122"/>
      <c r="J56" s="122"/>
      <c r="K56" s="122"/>
      <c r="L56" s="122"/>
      <c r="M56" s="122"/>
      <c r="N56" s="122"/>
      <c r="O56" s="122"/>
      <c r="P56" s="122"/>
      <c r="Q56" s="122"/>
      <c r="R56" s="122"/>
      <c r="S56" s="122"/>
      <c r="T56" s="127"/>
      <c r="U56" s="127"/>
      <c r="V56" s="127"/>
      <c r="W56" s="127"/>
      <c r="X56" s="127"/>
      <c r="Y56" s="127"/>
      <c r="Z56" s="127"/>
      <c r="AA56" s="127"/>
      <c r="AB56" s="127"/>
      <c r="AC56" s="127"/>
      <c r="AD56" s="127"/>
      <c r="AE56" s="127"/>
      <c r="AF56" s="127"/>
      <c r="AG56" s="127"/>
      <c r="AH56" s="127"/>
      <c r="AI56" s="127"/>
      <c r="AJ56" s="127"/>
      <c r="AK56" s="127"/>
      <c r="AL56" s="127"/>
      <c r="AM56" s="127"/>
      <c r="AN56" s="127"/>
      <c r="AO56" s="127"/>
      <c r="AP56" s="128"/>
    </row>
    <row r="57" spans="1:42" ht="15.75" customHeight="1" thickBot="1" x14ac:dyDescent="0.3">
      <c r="A57" s="123"/>
      <c r="B57" s="124"/>
      <c r="C57" s="124"/>
      <c r="D57" s="124"/>
      <c r="E57" s="124"/>
      <c r="F57" s="124"/>
      <c r="G57" s="124"/>
      <c r="H57" s="124"/>
      <c r="I57" s="124"/>
      <c r="J57" s="124"/>
      <c r="K57" s="124"/>
      <c r="L57" s="124"/>
      <c r="M57" s="124"/>
      <c r="N57" s="124"/>
      <c r="O57" s="124"/>
      <c r="P57" s="124"/>
      <c r="Q57" s="124"/>
      <c r="R57" s="124"/>
      <c r="S57" s="124"/>
      <c r="T57" s="129"/>
      <c r="U57" s="129"/>
      <c r="V57" s="129"/>
      <c r="W57" s="129"/>
      <c r="X57" s="129"/>
      <c r="Y57" s="129"/>
      <c r="Z57" s="129"/>
      <c r="AA57" s="129"/>
      <c r="AB57" s="129"/>
      <c r="AC57" s="129"/>
      <c r="AD57" s="129"/>
      <c r="AE57" s="129"/>
      <c r="AF57" s="129"/>
      <c r="AG57" s="129"/>
      <c r="AH57" s="129"/>
      <c r="AI57" s="129"/>
      <c r="AJ57" s="129"/>
      <c r="AK57" s="129"/>
      <c r="AL57" s="129"/>
      <c r="AM57" s="129"/>
      <c r="AN57" s="129"/>
      <c r="AO57" s="129"/>
      <c r="AP57" s="130"/>
    </row>
  </sheetData>
  <mergeCells count="107">
    <mergeCell ref="D37:F38"/>
    <mergeCell ref="D39:F40"/>
    <mergeCell ref="D41:F42"/>
    <mergeCell ref="AM33:AP34"/>
    <mergeCell ref="AM35:AP36"/>
    <mergeCell ref="AM31:AP32"/>
    <mergeCell ref="A48:E48"/>
    <mergeCell ref="AN48:AP48"/>
    <mergeCell ref="F46:N46"/>
    <mergeCell ref="F47:N47"/>
    <mergeCell ref="F48:N48"/>
    <mergeCell ref="D31:F32"/>
    <mergeCell ref="D33:F34"/>
    <mergeCell ref="D35:F36"/>
    <mergeCell ref="AM37:AP38"/>
    <mergeCell ref="AM39:AP40"/>
    <mergeCell ref="AM41:AP42"/>
    <mergeCell ref="A37:C38"/>
    <mergeCell ref="A39:C40"/>
    <mergeCell ref="A41:C42"/>
    <mergeCell ref="A19:C20"/>
    <mergeCell ref="A21:C22"/>
    <mergeCell ref="A23:C24"/>
    <mergeCell ref="A25:C26"/>
    <mergeCell ref="A27:C28"/>
    <mergeCell ref="A29:C30"/>
    <mergeCell ref="A31:C32"/>
    <mergeCell ref="A33:C34"/>
    <mergeCell ref="A35:C36"/>
    <mergeCell ref="F49:N49"/>
    <mergeCell ref="F50:N50"/>
    <mergeCell ref="O46:AM46"/>
    <mergeCell ref="O47:AM47"/>
    <mergeCell ref="O48:AM48"/>
    <mergeCell ref="O49:AM49"/>
    <mergeCell ref="O50:AM50"/>
    <mergeCell ref="A47:E47"/>
    <mergeCell ref="AN47:AP47"/>
    <mergeCell ref="A1:AP3"/>
    <mergeCell ref="A7:C8"/>
    <mergeCell ref="A10:C10"/>
    <mergeCell ref="A9:C9"/>
    <mergeCell ref="A4:B4"/>
    <mergeCell ref="A11:F13"/>
    <mergeCell ref="A14:AP15"/>
    <mergeCell ref="A5:B5"/>
    <mergeCell ref="C4:H5"/>
    <mergeCell ref="I4:R5"/>
    <mergeCell ref="D7:H7"/>
    <mergeCell ref="D9:H9"/>
    <mergeCell ref="K9:R9"/>
    <mergeCell ref="I7:J10"/>
    <mergeCell ref="U7:AO7"/>
    <mergeCell ref="D10:H10"/>
    <mergeCell ref="K10:R10"/>
    <mergeCell ref="AP7:AP13"/>
    <mergeCell ref="AN9:AO10"/>
    <mergeCell ref="AJ9:AM10"/>
    <mergeCell ref="AE9:AI10"/>
    <mergeCell ref="Z9:AD10"/>
    <mergeCell ref="U11:Y11"/>
    <mergeCell ref="Z11:AD11"/>
    <mergeCell ref="AE11:AI11"/>
    <mergeCell ref="AJ11:AM11"/>
    <mergeCell ref="AN11:AO11"/>
    <mergeCell ref="U9:Y10"/>
    <mergeCell ref="S7:T13"/>
    <mergeCell ref="U13:AO13"/>
    <mergeCell ref="G11:R13"/>
    <mergeCell ref="K7:R7"/>
    <mergeCell ref="D29:F30"/>
    <mergeCell ref="D19:F20"/>
    <mergeCell ref="D21:F22"/>
    <mergeCell ref="D23:F24"/>
    <mergeCell ref="D25:F26"/>
    <mergeCell ref="D27:F28"/>
    <mergeCell ref="H16:AL16"/>
    <mergeCell ref="AM19:AP20"/>
    <mergeCell ref="AM21:AP22"/>
    <mergeCell ref="AM23:AP24"/>
    <mergeCell ref="AM25:AP26"/>
    <mergeCell ref="AM27:AP28"/>
    <mergeCell ref="AM29:AP30"/>
    <mergeCell ref="S4:AL5"/>
    <mergeCell ref="AM4:AP5"/>
    <mergeCell ref="AR16:AT18"/>
    <mergeCell ref="AR19:AR20"/>
    <mergeCell ref="AR21:AR22"/>
    <mergeCell ref="AS19:AT20"/>
    <mergeCell ref="AS21:AT22"/>
    <mergeCell ref="A53:S57"/>
    <mergeCell ref="T53:AP57"/>
    <mergeCell ref="F45:N45"/>
    <mergeCell ref="O45:AM45"/>
    <mergeCell ref="A16:C18"/>
    <mergeCell ref="D16:F18"/>
    <mergeCell ref="AM16:AP18"/>
    <mergeCell ref="A43:AP44"/>
    <mergeCell ref="A45:E45"/>
    <mergeCell ref="AN45:AP45"/>
    <mergeCell ref="A46:E46"/>
    <mergeCell ref="AN46:AP46"/>
    <mergeCell ref="A51:AP52"/>
    <mergeCell ref="A49:E49"/>
    <mergeCell ref="AN49:AP49"/>
    <mergeCell ref="A50:E50"/>
    <mergeCell ref="AN50:AP50"/>
  </mergeCells>
  <dataValidations count="4">
    <dataValidation type="list" allowBlank="1" showInputMessage="1" showErrorMessage="1" sqref="W12:AB12" xr:uid="{A4E2B811-4632-4C87-B310-152B912FBF31}">
      <formula1>$AR$1:$AR$5</formula1>
    </dataValidation>
    <dataValidation allowBlank="1" showInputMessage="1" showErrorMessage="1" promptTitle="Attention" prompt="Saisir du texte à la main ici remplacera la formule de cette cellule, ce qui empechera la liaison avec la feuille Parametres. _x000a__x000a_Si un modification est nécessaire, veuillez la rentrer dans le feuille Parametre directement" sqref="F46:AP50" xr:uid="{8F938A4B-E42F-46D2-971F-ABA72EDB4D48}"/>
    <dataValidation errorStyle="information" allowBlank="1" showInputMessage="1" showErrorMessage="1" errorTitle="Equipe absente de la liste" error="Le code que vous venez d'entrez ne figure pas dans la liste prédéfinie. Pour l'inscrire, appuyez sur OK :)" sqref="G11:R13 D19:F42" xr:uid="{40ED1782-6587-41F5-9094-A91A33758C5A}"/>
    <dataValidation type="date" allowBlank="1" showInputMessage="1" showErrorMessage="1" sqref="AS24" xr:uid="{912543FC-411C-4A95-A9A9-678C523C48F3}">
      <formula1>1</formula1>
      <formula2>219512</formula2>
    </dataValidation>
  </dataValidations>
  <pageMargins left="7.874015748031496E-2" right="7.874015748031496E-2" top="0.19685039370078741" bottom="0.19685039370078741" header="0.31496062992125984" footer="0.31496062992125984"/>
  <pageSetup paperSize="9" scale="65"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Check Box 5">
              <controlPr defaultSize="0" autoFill="0" autoLine="0" autoPict="0" altText="">
                <anchor>
                  <from>
                    <xdr:col>21</xdr:col>
                    <xdr:colOff>190500</xdr:colOff>
                    <xdr:row>10</xdr:row>
                    <xdr:rowOff>0</xdr:rowOff>
                  </from>
                  <to>
                    <xdr:col>23</xdr:col>
                    <xdr:colOff>9525</xdr:colOff>
                    <xdr:row>10</xdr:row>
                    <xdr:rowOff>219075</xdr:rowOff>
                  </to>
                </anchor>
              </controlPr>
            </control>
          </mc:Choice>
        </mc:AlternateContent>
        <mc:AlternateContent xmlns:mc="http://schemas.openxmlformats.org/markup-compatibility/2006">
          <mc:Choice Requires="x14">
            <control shapeId="2054" r:id="rId5" name="Check Box 6">
              <controlPr defaultSize="0" autoFill="0" autoLine="0" autoPict="0" altText="">
                <anchor>
                  <from>
                    <xdr:col>26</xdr:col>
                    <xdr:colOff>180975</xdr:colOff>
                    <xdr:row>10</xdr:row>
                    <xdr:rowOff>0</xdr:rowOff>
                  </from>
                  <to>
                    <xdr:col>27</xdr:col>
                    <xdr:colOff>200025</xdr:colOff>
                    <xdr:row>10</xdr:row>
                    <xdr:rowOff>219075</xdr:rowOff>
                  </to>
                </anchor>
              </controlPr>
            </control>
          </mc:Choice>
        </mc:AlternateContent>
        <mc:AlternateContent xmlns:mc="http://schemas.openxmlformats.org/markup-compatibility/2006">
          <mc:Choice Requires="x14">
            <control shapeId="2055" r:id="rId6" name="Check Box 7">
              <controlPr defaultSize="0" autoFill="0" autoLine="0" autoPict="0" altText="">
                <anchor>
                  <from>
                    <xdr:col>31</xdr:col>
                    <xdr:colOff>200025</xdr:colOff>
                    <xdr:row>9</xdr:row>
                    <xdr:rowOff>209550</xdr:rowOff>
                  </from>
                  <to>
                    <xdr:col>32</xdr:col>
                    <xdr:colOff>200025</xdr:colOff>
                    <xdr:row>10</xdr:row>
                    <xdr:rowOff>209550</xdr:rowOff>
                  </to>
                </anchor>
              </controlPr>
            </control>
          </mc:Choice>
        </mc:AlternateContent>
        <mc:AlternateContent xmlns:mc="http://schemas.openxmlformats.org/markup-compatibility/2006">
          <mc:Choice Requires="x14">
            <control shapeId="2056" r:id="rId7" name="Check Box 8">
              <controlPr defaultSize="0" autoFill="0" autoLine="0" autoPict="0" altText="">
                <anchor>
                  <from>
                    <xdr:col>36</xdr:col>
                    <xdr:colOff>190500</xdr:colOff>
                    <xdr:row>10</xdr:row>
                    <xdr:rowOff>0</xdr:rowOff>
                  </from>
                  <to>
                    <xdr:col>38</xdr:col>
                    <xdr:colOff>0</xdr:colOff>
                    <xdr:row>10</xdr:row>
                    <xdr:rowOff>219075</xdr:rowOff>
                  </to>
                </anchor>
              </controlPr>
            </control>
          </mc:Choice>
        </mc:AlternateContent>
        <mc:AlternateContent xmlns:mc="http://schemas.openxmlformats.org/markup-compatibility/2006">
          <mc:Choice Requires="x14">
            <control shapeId="2057" r:id="rId8" name="Check Box 9">
              <controlPr defaultSize="0" autoFill="0" autoLine="0" autoPict="0" altText="">
                <anchor>
                  <from>
                    <xdr:col>39</xdr:col>
                    <xdr:colOff>371475</xdr:colOff>
                    <xdr:row>9</xdr:row>
                    <xdr:rowOff>219075</xdr:rowOff>
                  </from>
                  <to>
                    <xdr:col>40</xdr:col>
                    <xdr:colOff>228600</xdr:colOff>
                    <xdr:row>10</xdr:row>
                    <xdr:rowOff>209550</xdr:rowOff>
                  </to>
                </anchor>
              </controlPr>
            </control>
          </mc:Choice>
        </mc:AlternateContent>
        <mc:AlternateContent xmlns:mc="http://schemas.openxmlformats.org/markup-compatibility/2006">
          <mc:Choice Requires="x14">
            <control shapeId="2059" r:id="rId9" name="Button 11">
              <controlPr defaultSize="0" print="0" autoFill="0" autoPict="0" macro="[0]!Feuil1.SaveFileWithDynamicName">
                <anchor moveWithCells="1" sizeWithCells="1">
                  <from>
                    <xdr:col>44</xdr:col>
                    <xdr:colOff>9525</xdr:colOff>
                    <xdr:row>18</xdr:row>
                    <xdr:rowOff>9525</xdr:rowOff>
                  </from>
                  <to>
                    <xdr:col>46</xdr:col>
                    <xdr:colOff>0</xdr:colOff>
                    <xdr:row>20</xdr:row>
                    <xdr:rowOff>0</xdr:rowOff>
                  </to>
                </anchor>
              </controlPr>
            </control>
          </mc:Choice>
        </mc:AlternateContent>
        <mc:AlternateContent xmlns:mc="http://schemas.openxmlformats.org/markup-compatibility/2006">
          <mc:Choice Requires="x14">
            <control shapeId="2060" r:id="rId10" name="Button 12">
              <controlPr defaultSize="0" print="0" autoFill="0" autoPict="0" macro="[0]!Feuil1.SaveFileWithDynamicNameFINAL">
                <anchor moveWithCells="1" sizeWithCells="1">
                  <from>
                    <xdr:col>44</xdr:col>
                    <xdr:colOff>19050</xdr:colOff>
                    <xdr:row>20</xdr:row>
                    <xdr:rowOff>0</xdr:rowOff>
                  </from>
                  <to>
                    <xdr:col>46</xdr:col>
                    <xdr:colOff>0</xdr:colOff>
                    <xdr:row>21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errorStyle="warning" allowBlank="1" showInputMessage="1" showErrorMessage="1" xr:uid="{88A2A0F4-37C4-433B-A07A-2B0ED9DBA46D}">
          <x14:formula1>
            <xm:f>Parametres!$A:$A</xm:f>
          </x14:formula1>
          <xm:sqref>A46:E50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262C2-F314-4CE4-A2CE-70C72AABAE7A}">
  <sheetPr codeName="Feuil2"/>
  <dimension ref="A1:J25"/>
  <sheetViews>
    <sheetView topLeftCell="A18" workbookViewId="0">
      <selection activeCell="B22" sqref="A1:D25"/>
    </sheetView>
  </sheetViews>
  <sheetFormatPr baseColWidth="10" defaultColWidth="9.140625" defaultRowHeight="15" x14ac:dyDescent="0.25"/>
  <cols>
    <col min="1" max="1" width="78.28515625" customWidth="1"/>
    <col min="2" max="2" width="44.140625" customWidth="1"/>
    <col min="3" max="3" width="66.42578125" customWidth="1"/>
    <col min="4" max="4" width="22" customWidth="1"/>
  </cols>
  <sheetData>
    <row r="1" spans="1:4" ht="34.5" x14ac:dyDescent="0.25">
      <c r="A1" s="1" t="s">
        <v>18</v>
      </c>
      <c r="B1" s="1" t="s">
        <v>25</v>
      </c>
      <c r="C1" s="1" t="s">
        <v>26</v>
      </c>
      <c r="D1" s="2" t="s">
        <v>27</v>
      </c>
    </row>
    <row r="2" spans="1:4" ht="89.25" x14ac:dyDescent="0.25">
      <c r="A2" s="3" t="s">
        <v>28</v>
      </c>
      <c r="B2" s="3" t="s">
        <v>29</v>
      </c>
      <c r="C2" s="4" t="s">
        <v>30</v>
      </c>
      <c r="D2" s="3" t="s">
        <v>31</v>
      </c>
    </row>
    <row r="3" spans="1:4" ht="63.75" x14ac:dyDescent="0.25">
      <c r="A3" s="3" t="s">
        <v>32</v>
      </c>
      <c r="B3" s="3" t="s">
        <v>29</v>
      </c>
      <c r="C3" s="4" t="s">
        <v>33</v>
      </c>
      <c r="D3" s="3" t="s">
        <v>31</v>
      </c>
    </row>
    <row r="4" spans="1:4" ht="69" x14ac:dyDescent="0.25">
      <c r="A4" s="5" t="s">
        <v>34</v>
      </c>
      <c r="B4" s="3" t="s">
        <v>35</v>
      </c>
      <c r="C4" s="4" t="s">
        <v>36</v>
      </c>
      <c r="D4" s="3" t="s">
        <v>37</v>
      </c>
    </row>
    <row r="5" spans="1:4" ht="63.75" x14ac:dyDescent="0.25">
      <c r="A5" s="5" t="s">
        <v>38</v>
      </c>
      <c r="B5" s="3" t="s">
        <v>39</v>
      </c>
      <c r="C5" s="4" t="s">
        <v>40</v>
      </c>
      <c r="D5" s="3" t="s">
        <v>37</v>
      </c>
    </row>
    <row r="6" spans="1:4" ht="89.25" x14ac:dyDescent="0.25">
      <c r="A6" s="5" t="s">
        <v>41</v>
      </c>
      <c r="B6" s="3" t="s">
        <v>39</v>
      </c>
      <c r="C6" s="4" t="s">
        <v>42</v>
      </c>
      <c r="D6" s="3" t="s">
        <v>37</v>
      </c>
    </row>
    <row r="7" spans="1:4" ht="34.5" x14ac:dyDescent="0.25">
      <c r="A7" s="5" t="s">
        <v>43</v>
      </c>
      <c r="B7" s="3" t="s">
        <v>44</v>
      </c>
      <c r="C7" s="4" t="s">
        <v>45</v>
      </c>
      <c r="D7" s="3" t="s">
        <v>46</v>
      </c>
    </row>
    <row r="8" spans="1:4" ht="69" x14ac:dyDescent="0.25">
      <c r="A8" s="5" t="s">
        <v>47</v>
      </c>
      <c r="B8" s="3" t="s">
        <v>35</v>
      </c>
      <c r="C8" s="4" t="s">
        <v>48</v>
      </c>
      <c r="D8" s="3" t="s">
        <v>46</v>
      </c>
    </row>
    <row r="9" spans="1:4" ht="34.5" x14ac:dyDescent="0.25">
      <c r="A9" s="5" t="s">
        <v>49</v>
      </c>
      <c r="B9" s="3" t="s">
        <v>44</v>
      </c>
      <c r="C9" s="4" t="s">
        <v>45</v>
      </c>
      <c r="D9" s="3" t="s">
        <v>50</v>
      </c>
    </row>
    <row r="10" spans="1:4" ht="51.75" x14ac:dyDescent="0.25">
      <c r="A10" s="5" t="s">
        <v>22</v>
      </c>
      <c r="B10" s="3" t="s">
        <v>51</v>
      </c>
      <c r="C10" s="4" t="s">
        <v>52</v>
      </c>
      <c r="D10" s="3" t="s">
        <v>53</v>
      </c>
    </row>
    <row r="11" spans="1:4" ht="102" x14ac:dyDescent="0.25">
      <c r="A11" s="5" t="s">
        <v>54</v>
      </c>
      <c r="B11" s="3" t="s">
        <v>55</v>
      </c>
      <c r="C11" s="4" t="s">
        <v>56</v>
      </c>
      <c r="D11" s="3" t="s">
        <v>50</v>
      </c>
    </row>
    <row r="12" spans="1:4" ht="120.75" x14ac:dyDescent="0.25">
      <c r="A12" s="5" t="s">
        <v>57</v>
      </c>
      <c r="B12" s="3" t="s">
        <v>58</v>
      </c>
      <c r="C12" s="4" t="s">
        <v>59</v>
      </c>
      <c r="D12" s="3" t="s">
        <v>53</v>
      </c>
    </row>
    <row r="13" spans="1:4" ht="76.5" x14ac:dyDescent="0.25">
      <c r="A13" s="5" t="s">
        <v>60</v>
      </c>
      <c r="B13" s="3" t="s">
        <v>61</v>
      </c>
      <c r="C13" s="4" t="s">
        <v>62</v>
      </c>
      <c r="D13" s="3" t="s">
        <v>53</v>
      </c>
    </row>
    <row r="14" spans="1:4" ht="138" x14ac:dyDescent="0.25">
      <c r="A14" s="5" t="s">
        <v>63</v>
      </c>
      <c r="B14" s="3" t="s">
        <v>64</v>
      </c>
      <c r="C14" s="4" t="s">
        <v>65</v>
      </c>
      <c r="D14" s="3" t="s">
        <v>46</v>
      </c>
    </row>
    <row r="15" spans="1:4" ht="86.25" x14ac:dyDescent="0.25">
      <c r="A15" s="5" t="s">
        <v>66</v>
      </c>
      <c r="B15" s="3" t="s">
        <v>67</v>
      </c>
      <c r="C15" s="4" t="s">
        <v>68</v>
      </c>
      <c r="D15" s="3" t="s">
        <v>50</v>
      </c>
    </row>
    <row r="16" spans="1:4" ht="51.75" x14ac:dyDescent="0.25">
      <c r="A16" s="5" t="s">
        <v>69</v>
      </c>
      <c r="B16" s="3" t="s">
        <v>70</v>
      </c>
      <c r="C16" s="4" t="s">
        <v>71</v>
      </c>
      <c r="D16" s="3" t="s">
        <v>72</v>
      </c>
    </row>
    <row r="17" spans="1:10" ht="63.75" x14ac:dyDescent="0.25">
      <c r="A17" s="5" t="s">
        <v>73</v>
      </c>
      <c r="B17" s="3" t="s">
        <v>70</v>
      </c>
      <c r="C17" s="4" t="s">
        <v>74</v>
      </c>
      <c r="D17" s="3" t="s">
        <v>75</v>
      </c>
    </row>
    <row r="18" spans="1:10" ht="38.25" x14ac:dyDescent="0.25">
      <c r="A18" s="5" t="s">
        <v>21</v>
      </c>
      <c r="B18" s="3" t="s">
        <v>76</v>
      </c>
      <c r="C18" s="4" t="s">
        <v>77</v>
      </c>
      <c r="D18" s="3" t="s">
        <v>37</v>
      </c>
    </row>
    <row r="19" spans="1:10" ht="103.5" x14ac:dyDescent="0.25">
      <c r="A19" s="5" t="s">
        <v>78</v>
      </c>
      <c r="B19" s="3" t="s">
        <v>79</v>
      </c>
      <c r="C19" s="4" t="s">
        <v>80</v>
      </c>
      <c r="D19" s="3" t="s">
        <v>37</v>
      </c>
    </row>
    <row r="20" spans="1:10" ht="103.5" x14ac:dyDescent="0.25">
      <c r="A20" s="5" t="s">
        <v>81</v>
      </c>
      <c r="B20" s="3" t="s">
        <v>79</v>
      </c>
      <c r="C20" s="4" t="s">
        <v>80</v>
      </c>
      <c r="D20" s="3" t="s">
        <v>37</v>
      </c>
    </row>
    <row r="21" spans="1:10" ht="103.5" customHeight="1" x14ac:dyDescent="0.25">
      <c r="A21" s="78" t="s">
        <v>95</v>
      </c>
      <c r="B21" s="78" t="s">
        <v>96</v>
      </c>
      <c r="C21" s="78" t="s">
        <v>97</v>
      </c>
      <c r="D21" s="80" t="s">
        <v>50</v>
      </c>
      <c r="E21" s="76"/>
      <c r="F21" s="76"/>
      <c r="G21" s="76"/>
      <c r="H21" s="76"/>
      <c r="I21" s="76"/>
      <c r="J21" s="76"/>
    </row>
    <row r="22" spans="1:10" ht="103.5" customHeight="1" x14ac:dyDescent="0.25">
      <c r="A22" s="79" t="s">
        <v>98</v>
      </c>
      <c r="B22" s="79" t="s">
        <v>99</v>
      </c>
      <c r="C22" s="79" t="s">
        <v>100</v>
      </c>
      <c r="D22" s="79" t="s">
        <v>50</v>
      </c>
      <c r="E22" s="77"/>
      <c r="F22" s="77"/>
      <c r="G22" s="77"/>
      <c r="H22" s="77"/>
      <c r="I22" s="77"/>
      <c r="J22" s="77"/>
    </row>
    <row r="23" spans="1:10" ht="103.5" customHeight="1" x14ac:dyDescent="0.25">
      <c r="A23" s="79" t="s">
        <v>101</v>
      </c>
      <c r="B23" s="79" t="s">
        <v>102</v>
      </c>
      <c r="C23" s="79" t="s">
        <v>103</v>
      </c>
      <c r="D23" s="79" t="s">
        <v>104</v>
      </c>
      <c r="E23" s="77"/>
      <c r="F23" s="77"/>
      <c r="G23" s="77"/>
      <c r="H23" s="77"/>
      <c r="I23" s="77"/>
      <c r="J23" s="77"/>
    </row>
    <row r="24" spans="1:10" ht="103.5" customHeight="1" x14ac:dyDescent="0.25">
      <c r="A24" s="79" t="s">
        <v>105</v>
      </c>
      <c r="B24" s="79" t="s">
        <v>106</v>
      </c>
      <c r="C24" s="79" t="s">
        <v>107</v>
      </c>
      <c r="D24" s="79" t="s">
        <v>108</v>
      </c>
      <c r="E24" s="77"/>
      <c r="F24" s="77"/>
      <c r="G24" s="77"/>
      <c r="H24" s="77"/>
      <c r="I24" s="77"/>
      <c r="J24" s="77"/>
    </row>
    <row r="25" spans="1:10" ht="103.5" customHeight="1" x14ac:dyDescent="0.25">
      <c r="A25" s="78" t="s">
        <v>109</v>
      </c>
      <c r="B25" s="79" t="s">
        <v>110</v>
      </c>
      <c r="C25" s="78" t="s">
        <v>111</v>
      </c>
      <c r="D25" s="78" t="s">
        <v>37</v>
      </c>
      <c r="E25" s="76"/>
      <c r="F25" s="76"/>
      <c r="G25" s="76"/>
      <c r="H25" s="76"/>
      <c r="I25" s="76"/>
      <c r="J25" s="7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FicheDeCoordination</vt:lpstr>
      <vt:lpstr>Parametres</vt:lpstr>
      <vt:lpstr>FicheDeCoordination!Zone_d_impression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CANDILLE Thomas</dc:creator>
  <cp:lastModifiedBy>CANDILLE Thomas</cp:lastModifiedBy>
  <cp:lastPrinted>2024-12-24T10:30:42Z</cp:lastPrinted>
  <dcterms:created xsi:type="dcterms:W3CDTF">2015-06-05T18:19:34Z</dcterms:created>
  <dcterms:modified xsi:type="dcterms:W3CDTF">2025-05-05T14:13:41Z</dcterms:modified>
</cp:coreProperties>
</file>